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原始表1" sheetId="1" state="visible" r:id="rId1"/>
    <sheet xmlns:r="http://schemas.openxmlformats.org/officeDocument/2006/relationships" name="原始表2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5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2" applyAlignment="1" pivotButton="0" quotePrefix="0" xfId="1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0" fillId="0" borderId="29" pivotButton="0" quotePrefix="0" xfId="0"/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F1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20" customWidth="1" style="1" min="2" max="2"/>
    <col width="31.4" customWidth="1" style="1" min="3" max="16384"/>
    <col width="31.4" customWidth="1" style="1" min="4" max="4"/>
    <col width="21.2" customWidth="1" style="1" min="5" max="5"/>
    <col width="14" customWidth="1" style="1" min="6" max="6"/>
    <col width="10.4" customWidth="1" style="1" min="7" max="7"/>
    <col width="14" customWidth="1" style="1" min="8" max="8"/>
    <col width="12.8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  <col width="14" customWidth="1" style="1" min="25" max="25"/>
    <col width="12.8" customWidth="1" style="1" min="26" max="26"/>
    <col width="12.5" customWidth="1" style="1" min="27" max="27"/>
    <col width="12.5" customWidth="1" style="1" min="28" max="28"/>
    <col width="10.4" customWidth="1" style="1" min="29" max="29"/>
    <col width="11.9" customWidth="1" style="1" min="30" max="30"/>
    <col width="10.7" customWidth="1" style="1" min="31" max="31"/>
    <col width="10.7" customWidth="1" style="1" min="32" max="32"/>
    <col width="9.199999999999999" customWidth="1" style="1" min="33" max="33"/>
    <col width="10.4" customWidth="1" style="1" min="34" max="34"/>
    <col width="12.5" customWidth="1" style="1" min="35" max="35"/>
    <col width="13.1" customWidth="1" style="1" min="36" max="36"/>
    <col width="14.6" customWidth="1" style="1" min="37" max="37"/>
    <col width="16.7" customWidth="1" style="1" min="38" max="38"/>
    <col width="14.6" customWidth="1" style="1" min="39" max="39"/>
    <col width="14.6" customWidth="1" style="1" min="40" max="40"/>
    <col width="10.7" customWidth="1" style="1" min="41" max="41"/>
    <col width="12.8" customWidth="1" style="1" min="42" max="42"/>
    <col width="12.8" customWidth="1" style="1" min="43" max="43"/>
    <col width="12.5" customWidth="1" style="1" min="44" max="44"/>
    <col width="12.5" customWidth="1" style="1" min="45" max="45"/>
    <col width="10.4" customWidth="1" style="1" min="46" max="46"/>
    <col width="11.9" customWidth="1" style="1" min="47" max="47"/>
    <col width="10.7" customWidth="1" style="1" min="48" max="48"/>
    <col width="10.7" customWidth="1" style="1" min="49" max="49"/>
    <col width="9.199999999999999" customWidth="1" style="1" min="50" max="50"/>
    <col width="10.4" customWidth="1" style="1" min="51" max="51"/>
    <col width="12.5" customWidth="1" style="1" min="52" max="52"/>
    <col width="13.1" customWidth="1" style="1" min="53" max="53"/>
    <col width="14.6" customWidth="1" style="1" min="54" max="54"/>
    <col width="16.7" customWidth="1" style="1" min="55" max="55"/>
    <col width="14.6" customWidth="1" style="1" min="56" max="56"/>
    <col width="14.6" customWidth="1" style="1" min="57" max="57"/>
    <col width="10.7" customWidth="1" style="1" min="58" max="58"/>
  </cols>
  <sheetData>
    <row r="1"/>
    <row r="2">
      <c r="B2" s="2" t="inlineStr">
        <is>
          <t>multi_dpd_table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4" t="n"/>
    </row>
    <row r="3">
      <c r="B3" s="5" t="n"/>
      <c r="C3" s="6" t="inlineStr">
        <is>
          <t>分箱详情</t>
        </is>
      </c>
      <c r="D3" s="3" t="n"/>
      <c r="E3" s="3" t="n"/>
      <c r="F3" s="3" t="n"/>
      <c r="G3" s="7" t="n"/>
      <c r="H3" s="6" t="inlineStr">
        <is>
          <t>MOB1_7+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7" t="n"/>
      <c r="Y3" s="6" t="inlineStr">
        <is>
          <t>MOB1_3+</t>
        </is>
      </c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7" t="n"/>
      <c r="AP3" s="8" t="inlineStr">
        <is>
          <t>MOB1_0+</t>
        </is>
      </c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4" t="n"/>
    </row>
    <row r="4">
      <c r="B4" s="5" t="n"/>
      <c r="C4" s="6" t="inlineStr">
        <is>
          <t>指标名称</t>
        </is>
      </c>
      <c r="D4" s="6" t="inlineStr">
        <is>
          <t>指标含义</t>
        </is>
      </c>
      <c r="E4" s="6" t="inlineStr">
        <is>
          <t>分箱标签</t>
        </is>
      </c>
      <c r="F4" s="6" t="inlineStr">
        <is>
          <t>样本总数</t>
        </is>
      </c>
      <c r="G4" s="6" t="inlineStr">
        <is>
          <t>样本占比</t>
        </is>
      </c>
      <c r="H4" s="6" t="inlineStr">
        <is>
          <t>好样本数</t>
        </is>
      </c>
      <c r="I4" s="6" t="inlineStr">
        <is>
          <t>坏样本数</t>
        </is>
      </c>
      <c r="J4" s="6" t="inlineStr">
        <is>
          <t>好样本占比</t>
        </is>
      </c>
      <c r="K4" s="6" t="inlineStr">
        <is>
          <t>坏样本占比</t>
        </is>
      </c>
      <c r="L4" s="6" t="inlineStr">
        <is>
          <t>坏样本率</t>
        </is>
      </c>
      <c r="M4" s="6" t="inlineStr">
        <is>
          <t>分档WOE值</t>
        </is>
      </c>
      <c r="N4" s="6" t="inlineStr">
        <is>
          <t>分档IV值</t>
        </is>
      </c>
      <c r="O4" s="6" t="inlineStr">
        <is>
          <t>指标IV值</t>
        </is>
      </c>
      <c r="P4" s="6" t="inlineStr">
        <is>
          <t>LIFT值</t>
        </is>
      </c>
      <c r="Q4" s="6" t="inlineStr">
        <is>
          <t>坏账改善</t>
        </is>
      </c>
      <c r="R4" s="6" t="inlineStr">
        <is>
          <t>风险拒绝比</t>
        </is>
      </c>
      <c r="S4" s="6" t="inlineStr">
        <is>
          <t>累积LIFT值</t>
        </is>
      </c>
      <c r="T4" s="6" t="inlineStr">
        <is>
          <t>累积坏账改善</t>
        </is>
      </c>
      <c r="U4" s="6" t="inlineStr">
        <is>
          <t>累计风险拒绝比</t>
        </is>
      </c>
      <c r="V4" s="6" t="inlineStr">
        <is>
          <t>累积好样本数</t>
        </is>
      </c>
      <c r="W4" s="6" t="inlineStr">
        <is>
          <t>累积坏样本数</t>
        </is>
      </c>
      <c r="X4" s="6" t="inlineStr">
        <is>
          <t>分档KS值</t>
        </is>
      </c>
      <c r="Y4" s="6" t="inlineStr">
        <is>
          <t>好样本数</t>
        </is>
      </c>
      <c r="Z4" s="6" t="inlineStr">
        <is>
          <t>坏样本数</t>
        </is>
      </c>
      <c r="AA4" s="6" t="inlineStr">
        <is>
          <t>好样本占比</t>
        </is>
      </c>
      <c r="AB4" s="6" t="inlineStr">
        <is>
          <t>坏样本占比</t>
        </is>
      </c>
      <c r="AC4" s="6" t="inlineStr">
        <is>
          <t>坏样本率</t>
        </is>
      </c>
      <c r="AD4" s="6" t="inlineStr">
        <is>
          <t>分档WOE值</t>
        </is>
      </c>
      <c r="AE4" s="6" t="inlineStr">
        <is>
          <t>分档IV值</t>
        </is>
      </c>
      <c r="AF4" s="6" t="inlineStr">
        <is>
          <t>指标IV值</t>
        </is>
      </c>
      <c r="AG4" s="6" t="inlineStr">
        <is>
          <t>LIFT值</t>
        </is>
      </c>
      <c r="AH4" s="6" t="inlineStr">
        <is>
          <t>坏账改善</t>
        </is>
      </c>
      <c r="AI4" s="6" t="inlineStr">
        <is>
          <t>风险拒绝比</t>
        </is>
      </c>
      <c r="AJ4" s="6" t="inlineStr">
        <is>
          <t>累积LIFT值</t>
        </is>
      </c>
      <c r="AK4" s="6" t="inlineStr">
        <is>
          <t>累积坏账改善</t>
        </is>
      </c>
      <c r="AL4" s="6" t="inlineStr">
        <is>
          <t>累计风险拒绝比</t>
        </is>
      </c>
      <c r="AM4" s="6" t="inlineStr">
        <is>
          <t>累积好样本数</t>
        </is>
      </c>
      <c r="AN4" s="6" t="inlineStr">
        <is>
          <t>累积坏样本数</t>
        </is>
      </c>
      <c r="AO4" s="6" t="inlineStr">
        <is>
          <t>分档KS值</t>
        </is>
      </c>
      <c r="AP4" s="6" t="inlineStr">
        <is>
          <t>好样本数</t>
        </is>
      </c>
      <c r="AQ4" s="6" t="inlineStr">
        <is>
          <t>坏样本数</t>
        </is>
      </c>
      <c r="AR4" s="6" t="inlineStr">
        <is>
          <t>好样本占比</t>
        </is>
      </c>
      <c r="AS4" s="6" t="inlineStr">
        <is>
          <t>坏样本占比</t>
        </is>
      </c>
      <c r="AT4" s="6" t="inlineStr">
        <is>
          <t>坏样本率</t>
        </is>
      </c>
      <c r="AU4" s="6" t="inlineStr">
        <is>
          <t>分档WOE值</t>
        </is>
      </c>
      <c r="AV4" s="6" t="inlineStr">
        <is>
          <t>分档IV值</t>
        </is>
      </c>
      <c r="AW4" s="6" t="inlineStr">
        <is>
          <t>指标IV值</t>
        </is>
      </c>
      <c r="AX4" s="6" t="inlineStr">
        <is>
          <t>LIFT值</t>
        </is>
      </c>
      <c r="AY4" s="6" t="inlineStr">
        <is>
          <t>坏账改善</t>
        </is>
      </c>
      <c r="AZ4" s="6" t="inlineStr">
        <is>
          <t>风险拒绝比</t>
        </is>
      </c>
      <c r="BA4" s="6" t="inlineStr">
        <is>
          <t>累积LIFT值</t>
        </is>
      </c>
      <c r="BB4" s="6" t="inlineStr">
        <is>
          <t>累积坏账改善</t>
        </is>
      </c>
      <c r="BC4" s="6" t="inlineStr">
        <is>
          <t>累计风险拒绝比</t>
        </is>
      </c>
      <c r="BD4" s="6" t="inlineStr">
        <is>
          <t>累积好样本数</t>
        </is>
      </c>
      <c r="BE4" s="6" t="inlineStr">
        <is>
          <t>累积坏样本数</t>
        </is>
      </c>
      <c r="BF4" s="8" t="inlineStr">
        <is>
          <t>分档KS值</t>
        </is>
      </c>
    </row>
    <row r="5">
      <c r="B5" s="9" t="n">
        <v>0</v>
      </c>
      <c r="C5" s="9" t="inlineStr">
        <is>
          <t>衡枢鉴真分老客版</t>
        </is>
      </c>
      <c r="D5" s="9" t="inlineStr">
        <is>
          <t>衡枢鉴真分老客版</t>
        </is>
      </c>
      <c r="E5" s="9" t="inlineStr">
        <is>
          <t>[-inf, 0.0541)</t>
        </is>
      </c>
      <c r="F5" s="9" t="n">
        <v>1017776</v>
      </c>
      <c r="G5" s="10" t="n">
        <v>0.249</v>
      </c>
      <c r="H5" s="9" t="n">
        <v>928119</v>
      </c>
      <c r="I5" s="9" t="n">
        <v>89657</v>
      </c>
      <c r="J5" s="10" t="n">
        <v>0.2675</v>
      </c>
      <c r="K5" s="10" t="n">
        <v>0.145</v>
      </c>
      <c r="L5" s="10" t="n">
        <v>0.0881</v>
      </c>
      <c r="M5" s="9" t="n">
        <v>-0.6123</v>
      </c>
      <c r="N5" s="9" t="n">
        <v>0.075</v>
      </c>
      <c r="O5" s="9" t="n">
        <v>0.1814</v>
      </c>
      <c r="P5" s="9" t="n">
        <v>0.5824</v>
      </c>
      <c r="Q5" s="10" t="n">
        <v>-0.1385</v>
      </c>
      <c r="R5" s="9" t="n">
        <v>0.249</v>
      </c>
      <c r="S5" s="9" t="n">
        <v>1</v>
      </c>
      <c r="T5" s="10" t="n">
        <v>1</v>
      </c>
      <c r="U5" s="9" t="n">
        <v>1</v>
      </c>
      <c r="V5" s="9" t="n">
        <v>3469009</v>
      </c>
      <c r="W5" s="9" t="n">
        <v>618194</v>
      </c>
      <c r="X5" s="10" t="n">
        <v>0</v>
      </c>
      <c r="Y5" s="9" t="n">
        <v>907458</v>
      </c>
      <c r="Z5" s="9" t="n">
        <v>110318</v>
      </c>
      <c r="AA5" s="10" t="n">
        <v>0.2653</v>
      </c>
      <c r="AB5" s="10" t="n">
        <v>0.1653</v>
      </c>
      <c r="AC5" s="10" t="n">
        <v>0.1084</v>
      </c>
      <c r="AD5" s="9" t="n">
        <v>-0.4732</v>
      </c>
      <c r="AE5" s="9" t="n">
        <v>0.0473</v>
      </c>
      <c r="AF5" s="9" t="n">
        <v>0.1287</v>
      </c>
      <c r="AG5" s="9" t="n">
        <v>0.6637999999999999</v>
      </c>
      <c r="AH5" s="10" t="n">
        <v>-0.1115</v>
      </c>
      <c r="AI5" s="9" t="n">
        <v>0.249</v>
      </c>
      <c r="AJ5" s="9" t="n">
        <v>1</v>
      </c>
      <c r="AK5" s="10" t="n">
        <v>1</v>
      </c>
      <c r="AL5" s="9" t="n">
        <v>1</v>
      </c>
      <c r="AM5" s="9" t="n">
        <v>3419857</v>
      </c>
      <c r="AN5" s="9" t="n">
        <v>667346</v>
      </c>
      <c r="AO5" s="10" t="n">
        <v>0</v>
      </c>
      <c r="AP5" s="9" t="n">
        <v>864428</v>
      </c>
      <c r="AQ5" s="9" t="n">
        <v>153348</v>
      </c>
      <c r="AR5" s="10" t="n">
        <v>0.2659</v>
      </c>
      <c r="AS5" s="10" t="n">
        <v>0.1835</v>
      </c>
      <c r="AT5" s="10" t="n">
        <v>0.1507</v>
      </c>
      <c r="AU5" s="9" t="n">
        <v>-0.371</v>
      </c>
      <c r="AV5" s="9" t="n">
        <v>0.0306</v>
      </c>
      <c r="AW5" s="9" t="n">
        <v>0.1053</v>
      </c>
      <c r="AX5" s="9" t="n">
        <v>0.7367</v>
      </c>
      <c r="AY5" s="10" t="n">
        <v>-0.0873</v>
      </c>
      <c r="AZ5" s="9" t="n">
        <v>0.249</v>
      </c>
      <c r="BA5" s="9" t="n">
        <v>1</v>
      </c>
      <c r="BB5" s="10" t="n">
        <v>1</v>
      </c>
      <c r="BC5" s="9" t="n">
        <v>1</v>
      </c>
      <c r="BD5" s="9" t="n">
        <v>3251340</v>
      </c>
      <c r="BE5" s="9" t="n">
        <v>835863</v>
      </c>
      <c r="BF5" s="10" t="n">
        <v>0</v>
      </c>
    </row>
    <row r="6">
      <c r="B6" s="11" t="n">
        <v>1</v>
      </c>
      <c r="C6" s="11" t="inlineStr">
        <is>
          <t>衡枢鉴真分老客版</t>
        </is>
      </c>
      <c r="D6" s="11" t="inlineStr">
        <is>
          <t>衡枢鉴真分老客版</t>
        </is>
      </c>
      <c r="E6" s="11" t="inlineStr">
        <is>
          <t>[0.0541, 0.0838)</t>
        </is>
      </c>
      <c r="F6" s="11" t="n">
        <v>1043419</v>
      </c>
      <c r="G6" s="12" t="n">
        <v>0.2553</v>
      </c>
      <c r="H6" s="11" t="n">
        <v>874880</v>
      </c>
      <c r="I6" s="11" t="n">
        <v>168539</v>
      </c>
      <c r="J6" s="12" t="n">
        <v>0.2522</v>
      </c>
      <c r="K6" s="12" t="n">
        <v>0.2726</v>
      </c>
      <c r="L6" s="12" t="n">
        <v>0.1615</v>
      </c>
      <c r="M6" s="11" t="n">
        <v>0.0779</v>
      </c>
      <c r="N6" s="11" t="n">
        <v>0.0016</v>
      </c>
      <c r="O6" s="11" t="n">
        <v>0.1814</v>
      </c>
      <c r="P6" s="11" t="n">
        <v>1.0679</v>
      </c>
      <c r="Q6" s="12" t="n">
        <v>0.0233</v>
      </c>
      <c r="R6" s="11" t="n">
        <v>0.2553</v>
      </c>
      <c r="S6" s="11" t="n">
        <v>1.1385</v>
      </c>
      <c r="T6" s="12" t="n">
        <v>0.4176</v>
      </c>
      <c r="U6" s="11" t="n">
        <v>0.751</v>
      </c>
      <c r="V6" s="11" t="n">
        <v>2540890</v>
      </c>
      <c r="W6" s="11" t="n">
        <v>528537</v>
      </c>
      <c r="X6" s="12" t="n">
        <v>0.1225</v>
      </c>
      <c r="Y6" s="11" t="n">
        <v>860360</v>
      </c>
      <c r="Z6" s="11" t="n">
        <v>183059</v>
      </c>
      <c r="AA6" s="12" t="n">
        <v>0.2516</v>
      </c>
      <c r="AB6" s="12" t="n">
        <v>0.2743</v>
      </c>
      <c r="AC6" s="12" t="n">
        <v>0.1754</v>
      </c>
      <c r="AD6" s="11" t="n">
        <v>0.08649999999999999</v>
      </c>
      <c r="AE6" s="11" t="n">
        <v>0.002</v>
      </c>
      <c r="AF6" s="11" t="n">
        <v>0.1287</v>
      </c>
      <c r="AG6" s="11" t="n">
        <v>1.0745</v>
      </c>
      <c r="AH6" s="12" t="n">
        <v>0.0255</v>
      </c>
      <c r="AI6" s="11" t="n">
        <v>0.2553</v>
      </c>
      <c r="AJ6" s="11" t="n">
        <v>1.1115</v>
      </c>
      <c r="AK6" s="12" t="n">
        <v>0.3362</v>
      </c>
      <c r="AL6" s="11" t="n">
        <v>0.751</v>
      </c>
      <c r="AM6" s="11" t="n">
        <v>2512399</v>
      </c>
      <c r="AN6" s="11" t="n">
        <v>557028</v>
      </c>
      <c r="AO6" s="12" t="n">
        <v>0.1</v>
      </c>
      <c r="AP6" s="11" t="n">
        <v>824992</v>
      </c>
      <c r="AQ6" s="11" t="n">
        <v>218427</v>
      </c>
      <c r="AR6" s="12" t="n">
        <v>0.2537</v>
      </c>
      <c r="AS6" s="12" t="n">
        <v>0.2613</v>
      </c>
      <c r="AT6" s="12" t="n">
        <v>0.2093</v>
      </c>
      <c r="AU6" s="11" t="n">
        <v>0.0294</v>
      </c>
      <c r="AV6" s="11" t="n">
        <v>0.0002</v>
      </c>
      <c r="AW6" s="11" t="n">
        <v>0.1053</v>
      </c>
      <c r="AX6" s="11" t="n">
        <v>1.0236</v>
      </c>
      <c r="AY6" s="12" t="n">
        <v>0.0081</v>
      </c>
      <c r="AZ6" s="11" t="n">
        <v>0.2553</v>
      </c>
      <c r="BA6" s="11" t="n">
        <v>1.0873</v>
      </c>
      <c r="BB6" s="12" t="n">
        <v>0.2633</v>
      </c>
      <c r="BC6" s="11" t="n">
        <v>0.751</v>
      </c>
      <c r="BD6" s="11" t="n">
        <v>2386912</v>
      </c>
      <c r="BE6" s="11" t="n">
        <v>682515</v>
      </c>
      <c r="BF6" s="12" t="n">
        <v>0.0824</v>
      </c>
    </row>
    <row r="7">
      <c r="B7" s="9" t="n">
        <v>2</v>
      </c>
      <c r="C7" s="9" t="inlineStr">
        <is>
          <t>衡枢鉴真分老客版</t>
        </is>
      </c>
      <c r="D7" s="9" t="inlineStr">
        <is>
          <t>衡枢鉴真分老客版</t>
        </is>
      </c>
      <c r="E7" s="9" t="inlineStr">
        <is>
          <t>[0.0838, 0.1239)</t>
        </is>
      </c>
      <c r="F7" s="9" t="n">
        <v>1033804</v>
      </c>
      <c r="G7" s="10" t="n">
        <v>0.2529</v>
      </c>
      <c r="H7" s="9" t="n">
        <v>908629</v>
      </c>
      <c r="I7" s="9" t="n">
        <v>125175</v>
      </c>
      <c r="J7" s="10" t="n">
        <v>0.2619</v>
      </c>
      <c r="K7" s="10" t="n">
        <v>0.2025</v>
      </c>
      <c r="L7" s="10" t="n">
        <v>0.1211</v>
      </c>
      <c r="M7" s="9" t="n">
        <v>-0.2574</v>
      </c>
      <c r="N7" s="9" t="n">
        <v>0.0153</v>
      </c>
      <c r="O7" s="9" t="n">
        <v>0.1814</v>
      </c>
      <c r="P7" s="9" t="n">
        <v>0.8005</v>
      </c>
      <c r="Q7" s="10" t="n">
        <v>-0.0675</v>
      </c>
      <c r="R7" s="9" t="n">
        <v>0.2529</v>
      </c>
      <c r="S7" s="9" t="n">
        <v>1.1748</v>
      </c>
      <c r="T7" s="10" t="n">
        <v>0.1718</v>
      </c>
      <c r="U7" s="9" t="n">
        <v>0.4957</v>
      </c>
      <c r="V7" s="9" t="n">
        <v>1666010</v>
      </c>
      <c r="W7" s="9" t="n">
        <v>359998</v>
      </c>
      <c r="X7" s="10" t="n">
        <v>0.1021</v>
      </c>
      <c r="Y7" s="9" t="n">
        <v>897456</v>
      </c>
      <c r="Z7" s="9" t="n">
        <v>136348</v>
      </c>
      <c r="AA7" s="10" t="n">
        <v>0.2624</v>
      </c>
      <c r="AB7" s="10" t="n">
        <v>0.2043</v>
      </c>
      <c r="AC7" s="10" t="n">
        <v>0.1319</v>
      </c>
      <c r="AD7" s="9" t="n">
        <v>-0.2503</v>
      </c>
      <c r="AE7" s="9" t="n">
        <v>0.0145</v>
      </c>
      <c r="AF7" s="9" t="n">
        <v>0.1287</v>
      </c>
      <c r="AG7" s="9" t="n">
        <v>0.8078</v>
      </c>
      <c r="AH7" s="10" t="n">
        <v>-0.06510000000000001</v>
      </c>
      <c r="AI7" s="9" t="n">
        <v>0.2529</v>
      </c>
      <c r="AJ7" s="9" t="n">
        <v>1.1305</v>
      </c>
      <c r="AK7" s="10" t="n">
        <v>0.1283</v>
      </c>
      <c r="AL7" s="9" t="n">
        <v>0.4957</v>
      </c>
      <c r="AM7" s="9" t="n">
        <v>1652039</v>
      </c>
      <c r="AN7" s="9" t="n">
        <v>373969</v>
      </c>
      <c r="AO7" s="10" t="n">
        <v>0.07729999999999999</v>
      </c>
      <c r="AP7" s="9" t="n">
        <v>859255</v>
      </c>
      <c r="AQ7" s="9" t="n">
        <v>174549</v>
      </c>
      <c r="AR7" s="10" t="n">
        <v>0.2643</v>
      </c>
      <c r="AS7" s="10" t="n">
        <v>0.2088</v>
      </c>
      <c r="AT7" s="10" t="n">
        <v>0.1688</v>
      </c>
      <c r="AU7" s="9" t="n">
        <v>-0.2355</v>
      </c>
      <c r="AV7" s="9" t="n">
        <v>0.0131</v>
      </c>
      <c r="AW7" s="9" t="n">
        <v>0.1053</v>
      </c>
      <c r="AX7" s="9" t="n">
        <v>0.8256</v>
      </c>
      <c r="AY7" s="10" t="n">
        <v>-0.059</v>
      </c>
      <c r="AZ7" s="9" t="n">
        <v>0.2529</v>
      </c>
      <c r="BA7" s="9" t="n">
        <v>1.1201</v>
      </c>
      <c r="BB7" s="10" t="n">
        <v>0.118</v>
      </c>
      <c r="BC7" s="9" t="n">
        <v>0.4957</v>
      </c>
      <c r="BD7" s="9" t="n">
        <v>1561920</v>
      </c>
      <c r="BE7" s="9" t="n">
        <v>464088</v>
      </c>
      <c r="BF7" s="10" t="n">
        <v>0.07480000000000001</v>
      </c>
    </row>
    <row r="8">
      <c r="B8" s="11" t="n">
        <v>3</v>
      </c>
      <c r="C8" s="11" t="inlineStr">
        <is>
          <t>衡枢鉴真分老客版</t>
        </is>
      </c>
      <c r="D8" s="11" t="inlineStr">
        <is>
          <t>衡枢鉴真分老客版</t>
        </is>
      </c>
      <c r="E8" s="11" t="inlineStr">
        <is>
          <t>[0.1239, +inf)</t>
        </is>
      </c>
      <c r="F8" s="11" t="n">
        <v>992204</v>
      </c>
      <c r="G8" s="12" t="n">
        <v>0.2428</v>
      </c>
      <c r="H8" s="11" t="n">
        <v>757381</v>
      </c>
      <c r="I8" s="11" t="n">
        <v>234823</v>
      </c>
      <c r="J8" s="12" t="n">
        <v>0.2183</v>
      </c>
      <c r="K8" s="12" t="n">
        <v>0.3799</v>
      </c>
      <c r="L8" s="12" t="n">
        <v>0.2367</v>
      </c>
      <c r="M8" s="11" t="n">
        <v>0.5538</v>
      </c>
      <c r="N8" s="11" t="n">
        <v>0.0895</v>
      </c>
      <c r="O8" s="11" t="n">
        <v>0.1814</v>
      </c>
      <c r="P8" s="11" t="n">
        <v>1.5647</v>
      </c>
      <c r="Q8" s="12" t="n">
        <v>0.181</v>
      </c>
      <c r="R8" s="11" t="n">
        <v>0.2428</v>
      </c>
      <c r="S8" s="11" t="n">
        <v>1.5647</v>
      </c>
      <c r="T8" s="12" t="n">
        <v>0.181</v>
      </c>
      <c r="U8" s="11" t="n">
        <v>0.2428</v>
      </c>
      <c r="V8" s="11" t="n">
        <v>757381</v>
      </c>
      <c r="W8" s="11" t="n">
        <v>234823</v>
      </c>
      <c r="X8" s="12" t="n">
        <v>0.1615</v>
      </c>
      <c r="Y8" s="11" t="n">
        <v>754583</v>
      </c>
      <c r="Z8" s="11" t="n">
        <v>237621</v>
      </c>
      <c r="AA8" s="12" t="n">
        <v>0.2206</v>
      </c>
      <c r="AB8" s="12" t="n">
        <v>0.3561</v>
      </c>
      <c r="AC8" s="12" t="n">
        <v>0.2395</v>
      </c>
      <c r="AD8" s="11" t="n">
        <v>0.4786</v>
      </c>
      <c r="AE8" s="11" t="n">
        <v>0.0648</v>
      </c>
      <c r="AF8" s="11" t="n">
        <v>0.1287</v>
      </c>
      <c r="AG8" s="11" t="n">
        <v>1.4668</v>
      </c>
      <c r="AH8" s="12" t="n">
        <v>0.1496</v>
      </c>
      <c r="AI8" s="11" t="n">
        <v>0.2428</v>
      </c>
      <c r="AJ8" s="11" t="n">
        <v>1.4668</v>
      </c>
      <c r="AK8" s="12" t="n">
        <v>0.1496</v>
      </c>
      <c r="AL8" s="11" t="n">
        <v>0.2428</v>
      </c>
      <c r="AM8" s="11" t="n">
        <v>754583</v>
      </c>
      <c r="AN8" s="11" t="n">
        <v>237621</v>
      </c>
      <c r="AO8" s="12" t="n">
        <v>0.1354</v>
      </c>
      <c r="AP8" s="11" t="n">
        <v>702665</v>
      </c>
      <c r="AQ8" s="11" t="n">
        <v>289539</v>
      </c>
      <c r="AR8" s="12" t="n">
        <v>0.2161</v>
      </c>
      <c r="AS8" s="12" t="n">
        <v>0.3464</v>
      </c>
      <c r="AT8" s="12" t="n">
        <v>0.2918</v>
      </c>
      <c r="AU8" s="11" t="n">
        <v>0.4718</v>
      </c>
      <c r="AV8" s="11" t="n">
        <v>0.0615</v>
      </c>
      <c r="AW8" s="11" t="n">
        <v>0.1053</v>
      </c>
      <c r="AX8" s="11" t="n">
        <v>1.4269</v>
      </c>
      <c r="AY8" s="12" t="n">
        <v>0.1369</v>
      </c>
      <c r="AZ8" s="11" t="n">
        <v>0.2428</v>
      </c>
      <c r="BA8" s="11" t="n">
        <v>1.4269</v>
      </c>
      <c r="BB8" s="12" t="n">
        <v>0.1369</v>
      </c>
      <c r="BC8" s="11" t="n">
        <v>0.2428</v>
      </c>
      <c r="BD8" s="11" t="n">
        <v>702665</v>
      </c>
      <c r="BE8" s="11" t="n">
        <v>289539</v>
      </c>
      <c r="BF8" s="12" t="n">
        <v>0.1303</v>
      </c>
    </row>
    <row r="9">
      <c r="B9" s="9" t="n">
        <v>4</v>
      </c>
      <c r="C9" s="9" t="inlineStr">
        <is>
          <t>近六个月非银多头机构数</t>
        </is>
      </c>
      <c r="D9" s="9" t="inlineStr">
        <is>
          <t>近六个月非银多头机构数</t>
        </is>
      </c>
      <c r="E9" s="9" t="inlineStr">
        <is>
          <t>[-inf, 52)</t>
        </is>
      </c>
      <c r="F9" s="9" t="n">
        <v>939911</v>
      </c>
      <c r="G9" s="10" t="n">
        <v>0.23</v>
      </c>
      <c r="H9" s="9" t="n">
        <v>813440</v>
      </c>
      <c r="I9" s="9" t="n">
        <v>126471</v>
      </c>
      <c r="J9" s="10" t="n">
        <v>0.2345</v>
      </c>
      <c r="K9" s="10" t="n">
        <v>0.2046</v>
      </c>
      <c r="L9" s="10" t="n">
        <v>0.1346</v>
      </c>
      <c r="M9" s="9" t="n">
        <v>-0.1364</v>
      </c>
      <c r="N9" s="9" t="n">
        <v>0.0041</v>
      </c>
      <c r="O9" s="9" t="n">
        <v>0.0385</v>
      </c>
      <c r="P9" s="9" t="n">
        <v>0.8895999999999999</v>
      </c>
      <c r="Q9" s="10" t="n">
        <v>-0.033</v>
      </c>
      <c r="R9" s="9" t="n">
        <v>0.23</v>
      </c>
      <c r="S9" s="9" t="n">
        <v>1</v>
      </c>
      <c r="T9" s="10" t="n">
        <v>1</v>
      </c>
      <c r="U9" s="9" t="n">
        <v>1</v>
      </c>
      <c r="V9" s="9" t="n">
        <v>3469009</v>
      </c>
      <c r="W9" s="9" t="n">
        <v>618194</v>
      </c>
      <c r="X9" s="10" t="n">
        <v>0</v>
      </c>
      <c r="Y9" s="9" t="n">
        <v>800427</v>
      </c>
      <c r="Z9" s="9" t="n">
        <v>139484</v>
      </c>
      <c r="AA9" s="10" t="n">
        <v>0.2341</v>
      </c>
      <c r="AB9" s="10" t="n">
        <v>0.209</v>
      </c>
      <c r="AC9" s="10" t="n">
        <v>0.1484</v>
      </c>
      <c r="AD9" s="9" t="n">
        <v>-0.1132</v>
      </c>
      <c r="AE9" s="9" t="n">
        <v>0.0028</v>
      </c>
      <c r="AF9" s="9" t="n">
        <v>0.0361</v>
      </c>
      <c r="AG9" s="9" t="n">
        <v>0.9089</v>
      </c>
      <c r="AH9" s="10" t="n">
        <v>-0.0272</v>
      </c>
      <c r="AI9" s="9" t="n">
        <v>0.23</v>
      </c>
      <c r="AJ9" s="9" t="n">
        <v>1</v>
      </c>
      <c r="AK9" s="10" t="n">
        <v>1</v>
      </c>
      <c r="AL9" s="9" t="n">
        <v>1</v>
      </c>
      <c r="AM9" s="9" t="n">
        <v>3419857</v>
      </c>
      <c r="AN9" s="9" t="n">
        <v>667346</v>
      </c>
      <c r="AO9" s="10" t="n">
        <v>0</v>
      </c>
      <c r="AP9" s="9" t="n">
        <v>743558</v>
      </c>
      <c r="AQ9" s="9" t="n">
        <v>196353</v>
      </c>
      <c r="AR9" s="10" t="n">
        <v>0.2287</v>
      </c>
      <c r="AS9" s="10" t="n">
        <v>0.2349</v>
      </c>
      <c r="AT9" s="10" t="n">
        <v>0.2089</v>
      </c>
      <c r="AU9" s="9" t="n">
        <v>0.0268</v>
      </c>
      <c r="AV9" s="9" t="n">
        <v>0.0002</v>
      </c>
      <c r="AW9" s="9" t="n">
        <v>0.0113</v>
      </c>
      <c r="AX9" s="9" t="n">
        <v>1.0215</v>
      </c>
      <c r="AY9" s="10" t="n">
        <v>0.0064</v>
      </c>
      <c r="AZ9" s="9" t="n">
        <v>0.23</v>
      </c>
      <c r="BA9" s="9" t="n">
        <v>1</v>
      </c>
      <c r="BB9" s="10" t="n">
        <v>1</v>
      </c>
      <c r="BC9" s="9" t="n">
        <v>1</v>
      </c>
      <c r="BD9" s="9" t="n">
        <v>3251340</v>
      </c>
      <c r="BE9" s="9" t="n">
        <v>835863</v>
      </c>
      <c r="BF9" s="10" t="n">
        <v>0</v>
      </c>
    </row>
    <row r="10">
      <c r="B10" s="11" t="n">
        <v>5</v>
      </c>
      <c r="C10" s="11" t="inlineStr">
        <is>
          <t>近六个月非银多头机构数</t>
        </is>
      </c>
      <c r="D10" s="11" t="inlineStr">
        <is>
          <t>近六个月非银多头机构数</t>
        </is>
      </c>
      <c r="E10" s="11" t="inlineStr">
        <is>
          <t>[52, 61)</t>
        </is>
      </c>
      <c r="F10" s="11" t="n">
        <v>1005733</v>
      </c>
      <c r="G10" s="12" t="n">
        <v>0.2461</v>
      </c>
      <c r="H10" s="11" t="n">
        <v>867001</v>
      </c>
      <c r="I10" s="11" t="n">
        <v>138732</v>
      </c>
      <c r="J10" s="12" t="n">
        <v>0.2499</v>
      </c>
      <c r="K10" s="12" t="n">
        <v>0.2244</v>
      </c>
      <c r="L10" s="12" t="n">
        <v>0.1379</v>
      </c>
      <c r="M10" s="11" t="n">
        <v>-0.1077</v>
      </c>
      <c r="N10" s="11" t="n">
        <v>0.0027</v>
      </c>
      <c r="O10" s="11" t="n">
        <v>0.0385</v>
      </c>
      <c r="P10" s="11" t="n">
        <v>0.912</v>
      </c>
      <c r="Q10" s="12" t="n">
        <v>-0.0287</v>
      </c>
      <c r="R10" s="11" t="n">
        <v>0.2461</v>
      </c>
      <c r="S10" s="11" t="n">
        <v>1.033</v>
      </c>
      <c r="T10" s="12" t="n">
        <v>0.1104</v>
      </c>
      <c r="U10" s="11" t="n">
        <v>0.77</v>
      </c>
      <c r="V10" s="11" t="n">
        <v>2655569</v>
      </c>
      <c r="W10" s="11" t="n">
        <v>491723</v>
      </c>
      <c r="X10" s="12" t="n">
        <v>0.0299</v>
      </c>
      <c r="Y10" s="11" t="n">
        <v>862824</v>
      </c>
      <c r="Z10" s="11" t="n">
        <v>142909</v>
      </c>
      <c r="AA10" s="12" t="n">
        <v>0.2523</v>
      </c>
      <c r="AB10" s="12" t="n">
        <v>0.2141</v>
      </c>
      <c r="AC10" s="12" t="n">
        <v>0.1421</v>
      </c>
      <c r="AD10" s="11" t="n">
        <v>-0.164</v>
      </c>
      <c r="AE10" s="11" t="n">
        <v>0.0063</v>
      </c>
      <c r="AF10" s="11" t="n">
        <v>0.0361</v>
      </c>
      <c r="AG10" s="11" t="n">
        <v>0.8703</v>
      </c>
      <c r="AH10" s="12" t="n">
        <v>-0.0423</v>
      </c>
      <c r="AI10" s="11" t="n">
        <v>0.2461</v>
      </c>
      <c r="AJ10" s="11" t="n">
        <v>1.0272</v>
      </c>
      <c r="AK10" s="12" t="n">
        <v>0.0911</v>
      </c>
      <c r="AL10" s="11" t="n">
        <v>0.77</v>
      </c>
      <c r="AM10" s="11" t="n">
        <v>2619430</v>
      </c>
      <c r="AN10" s="11" t="n">
        <v>527862</v>
      </c>
      <c r="AO10" s="12" t="n">
        <v>0.025</v>
      </c>
      <c r="AP10" s="11" t="n">
        <v>821114</v>
      </c>
      <c r="AQ10" s="11" t="n">
        <v>184619</v>
      </c>
      <c r="AR10" s="12" t="n">
        <v>0.2525</v>
      </c>
      <c r="AS10" s="12" t="n">
        <v>0.2209</v>
      </c>
      <c r="AT10" s="12" t="n">
        <v>0.1836</v>
      </c>
      <c r="AU10" s="11" t="n">
        <v>-0.134</v>
      </c>
      <c r="AV10" s="11" t="n">
        <v>0.0042</v>
      </c>
      <c r="AW10" s="11" t="n">
        <v>0.0113</v>
      </c>
      <c r="AX10" s="11" t="n">
        <v>0.8976</v>
      </c>
      <c r="AY10" s="12" t="n">
        <v>-0.0334</v>
      </c>
      <c r="AZ10" s="11" t="n">
        <v>0.2461</v>
      </c>
      <c r="BA10" s="11" t="n">
        <v>0.9936</v>
      </c>
      <c r="BB10" s="12" t="n">
        <v>-0.0215</v>
      </c>
      <c r="BC10" s="11" t="n">
        <v>0.77</v>
      </c>
      <c r="BD10" s="11" t="n">
        <v>2507782</v>
      </c>
      <c r="BE10" s="11" t="n">
        <v>639510</v>
      </c>
      <c r="BF10" s="12" t="n">
        <v>0.0062</v>
      </c>
    </row>
    <row r="11">
      <c r="B11" s="9" t="n">
        <v>6</v>
      </c>
      <c r="C11" s="9" t="inlineStr">
        <is>
          <t>近六个月非银多头机构数</t>
        </is>
      </c>
      <c r="D11" s="9" t="inlineStr">
        <is>
          <t>近六个月非银多头机构数</t>
        </is>
      </c>
      <c r="E11" s="9" t="inlineStr">
        <is>
          <t>[61, 69)</t>
        </is>
      </c>
      <c r="F11" s="9" t="n">
        <v>1030406</v>
      </c>
      <c r="G11" s="10" t="n">
        <v>0.2521</v>
      </c>
      <c r="H11" s="9" t="n">
        <v>892588</v>
      </c>
      <c r="I11" s="9" t="n">
        <v>137818</v>
      </c>
      <c r="J11" s="10" t="n">
        <v>0.2573</v>
      </c>
      <c r="K11" s="10" t="n">
        <v>0.2229</v>
      </c>
      <c r="L11" s="10" t="n">
        <v>0.1338</v>
      </c>
      <c r="M11" s="9" t="n">
        <v>-0.1434</v>
      </c>
      <c r="N11" s="9" t="n">
        <v>0.0049</v>
      </c>
      <c r="O11" s="9" t="n">
        <v>0.0385</v>
      </c>
      <c r="P11" s="9" t="n">
        <v>0.8843</v>
      </c>
      <c r="Q11" s="10" t="n">
        <v>-0.039</v>
      </c>
      <c r="R11" s="9" t="n">
        <v>0.2521</v>
      </c>
      <c r="S11" s="9" t="n">
        <v>1.0898</v>
      </c>
      <c r="T11" s="10" t="n">
        <v>0.0988</v>
      </c>
      <c r="U11" s="9" t="n">
        <v>0.524</v>
      </c>
      <c r="V11" s="9" t="n">
        <v>1788568</v>
      </c>
      <c r="W11" s="9" t="n">
        <v>352991</v>
      </c>
      <c r="X11" s="10" t="n">
        <v>0.0554</v>
      </c>
      <c r="Y11" s="9" t="n">
        <v>875024</v>
      </c>
      <c r="Z11" s="9" t="n">
        <v>155382</v>
      </c>
      <c r="AA11" s="10" t="n">
        <v>0.2559</v>
      </c>
      <c r="AB11" s="10" t="n">
        <v>0.2328</v>
      </c>
      <c r="AC11" s="10" t="n">
        <v>0.1508</v>
      </c>
      <c r="AD11" s="9" t="n">
        <v>-0.09429999999999999</v>
      </c>
      <c r="AE11" s="9" t="n">
        <v>0.0022</v>
      </c>
      <c r="AF11" s="9" t="n">
        <v>0.0361</v>
      </c>
      <c r="AG11" s="9" t="n">
        <v>0.9236</v>
      </c>
      <c r="AH11" s="10" t="n">
        <v>-0.0258</v>
      </c>
      <c r="AI11" s="9" t="n">
        <v>0.2521</v>
      </c>
      <c r="AJ11" s="9" t="n">
        <v>1.1009</v>
      </c>
      <c r="AK11" s="10" t="n">
        <v>0.1111</v>
      </c>
      <c r="AL11" s="9" t="n">
        <v>0.524</v>
      </c>
      <c r="AM11" s="9" t="n">
        <v>1756606</v>
      </c>
      <c r="AN11" s="9" t="n">
        <v>384953</v>
      </c>
      <c r="AO11" s="10" t="n">
        <v>0.06320000000000001</v>
      </c>
      <c r="AP11" s="9" t="n">
        <v>829987</v>
      </c>
      <c r="AQ11" s="9" t="n">
        <v>200419</v>
      </c>
      <c r="AR11" s="10" t="n">
        <v>0.2553</v>
      </c>
      <c r="AS11" s="10" t="n">
        <v>0.2398</v>
      </c>
      <c r="AT11" s="10" t="n">
        <v>0.1945</v>
      </c>
      <c r="AU11" s="9" t="n">
        <v>-0.0626</v>
      </c>
      <c r="AV11" s="9" t="n">
        <v>0.001</v>
      </c>
      <c r="AW11" s="9" t="n">
        <v>0.0113</v>
      </c>
      <c r="AX11" s="9" t="n">
        <v>0.9510999999999999</v>
      </c>
      <c r="AY11" s="10" t="n">
        <v>-0.0165</v>
      </c>
      <c r="AZ11" s="9" t="n">
        <v>0.2521</v>
      </c>
      <c r="BA11" s="9" t="n">
        <v>1.0386</v>
      </c>
      <c r="BB11" s="10" t="n">
        <v>0.0425</v>
      </c>
      <c r="BC11" s="9" t="n">
        <v>0.524</v>
      </c>
      <c r="BD11" s="9" t="n">
        <v>1686668</v>
      </c>
      <c r="BE11" s="9" t="n">
        <v>454891</v>
      </c>
      <c r="BF11" s="10" t="n">
        <v>0.0255</v>
      </c>
    </row>
    <row r="12">
      <c r="B12" s="11" t="n">
        <v>7</v>
      </c>
      <c r="C12" s="11" t="inlineStr">
        <is>
          <t>近六个月非银多头机构数</t>
        </is>
      </c>
      <c r="D12" s="11" t="inlineStr">
        <is>
          <t>近六个月非银多头机构数</t>
        </is>
      </c>
      <c r="E12" s="11" t="inlineStr">
        <is>
          <t>[69, +inf)</t>
        </is>
      </c>
      <c r="F12" s="11" t="n">
        <v>1111153</v>
      </c>
      <c r="G12" s="12" t="n">
        <v>0.2719</v>
      </c>
      <c r="H12" s="11" t="n">
        <v>895980</v>
      </c>
      <c r="I12" s="11" t="n">
        <v>215173</v>
      </c>
      <c r="J12" s="12" t="n">
        <v>0.2583</v>
      </c>
      <c r="K12" s="12" t="n">
        <v>0.3481</v>
      </c>
      <c r="L12" s="12" t="n">
        <v>0.1936</v>
      </c>
      <c r="M12" s="11" t="n">
        <v>0.2983</v>
      </c>
      <c r="N12" s="11" t="n">
        <v>0.0268</v>
      </c>
      <c r="O12" s="11" t="n">
        <v>0.0385</v>
      </c>
      <c r="P12" s="11" t="n">
        <v>1.2803</v>
      </c>
      <c r="Q12" s="12" t="n">
        <v>0.1047</v>
      </c>
      <c r="R12" s="11" t="n">
        <v>0.2719</v>
      </c>
      <c r="S12" s="11" t="n">
        <v>1.2803</v>
      </c>
      <c r="T12" s="12" t="n">
        <v>0.1047</v>
      </c>
      <c r="U12" s="11" t="n">
        <v>0.2719</v>
      </c>
      <c r="V12" s="11" t="n">
        <v>895980</v>
      </c>
      <c r="W12" s="11" t="n">
        <v>215173</v>
      </c>
      <c r="X12" s="12" t="n">
        <v>0.0898</v>
      </c>
      <c r="Y12" s="11" t="n">
        <v>881582</v>
      </c>
      <c r="Z12" s="11" t="n">
        <v>229571</v>
      </c>
      <c r="AA12" s="12" t="n">
        <v>0.2578</v>
      </c>
      <c r="AB12" s="12" t="n">
        <v>0.344</v>
      </c>
      <c r="AC12" s="12" t="n">
        <v>0.2066</v>
      </c>
      <c r="AD12" s="11" t="n">
        <v>0.2885</v>
      </c>
      <c r="AE12" s="11" t="n">
        <v>0.0249</v>
      </c>
      <c r="AF12" s="11" t="n">
        <v>0.0361</v>
      </c>
      <c r="AG12" s="11" t="n">
        <v>1.2654</v>
      </c>
      <c r="AH12" s="12" t="n">
        <v>0.09909999999999999</v>
      </c>
      <c r="AI12" s="11" t="n">
        <v>0.2719</v>
      </c>
      <c r="AJ12" s="11" t="n">
        <v>1.2654</v>
      </c>
      <c r="AK12" s="12" t="n">
        <v>0.09909999999999999</v>
      </c>
      <c r="AL12" s="11" t="n">
        <v>0.2719</v>
      </c>
      <c r="AM12" s="11" t="n">
        <v>881582</v>
      </c>
      <c r="AN12" s="11" t="n">
        <v>229571</v>
      </c>
      <c r="AO12" s="12" t="n">
        <v>0.0862</v>
      </c>
      <c r="AP12" s="11" t="n">
        <v>856681</v>
      </c>
      <c r="AQ12" s="11" t="n">
        <v>254472</v>
      </c>
      <c r="AR12" s="12" t="n">
        <v>0.2635</v>
      </c>
      <c r="AS12" s="12" t="n">
        <v>0.3044</v>
      </c>
      <c r="AT12" s="12" t="n">
        <v>0.229</v>
      </c>
      <c r="AU12" s="11" t="n">
        <v>0.1445</v>
      </c>
      <c r="AV12" s="11" t="n">
        <v>0.0059</v>
      </c>
      <c r="AW12" s="11" t="n">
        <v>0.0113</v>
      </c>
      <c r="AX12" s="11" t="n">
        <v>1.1198</v>
      </c>
      <c r="AY12" s="12" t="n">
        <v>0.0447</v>
      </c>
      <c r="AZ12" s="11" t="n">
        <v>0.2719</v>
      </c>
      <c r="BA12" s="11" t="n">
        <v>1.1198</v>
      </c>
      <c r="BB12" s="12" t="n">
        <v>0.0447</v>
      </c>
      <c r="BC12" s="11" t="n">
        <v>0.2719</v>
      </c>
      <c r="BD12" s="11" t="n">
        <v>856681</v>
      </c>
      <c r="BE12" s="11" t="n">
        <v>254472</v>
      </c>
      <c r="BF12" s="12" t="n">
        <v>0.041</v>
      </c>
    </row>
    <row r="13">
      <c r="B13" s="9" t="n">
        <v>8</v>
      </c>
      <c r="C13" s="9" t="inlineStr">
        <is>
          <t>手机号近一个月非银多头机构数</t>
        </is>
      </c>
      <c r="D13" s="9" t="inlineStr">
        <is>
          <t>手机号近一个月非银多头机构数</t>
        </is>
      </c>
      <c r="E13" s="9" t="inlineStr">
        <is>
          <t>[-inf, 16)</t>
        </is>
      </c>
      <c r="F13" s="9" t="n">
        <v>848959</v>
      </c>
      <c r="G13" s="10" t="n">
        <v>0.2077</v>
      </c>
      <c r="H13" s="9" t="n">
        <v>737317</v>
      </c>
      <c r="I13" s="9" t="n">
        <v>111642</v>
      </c>
      <c r="J13" s="10" t="n">
        <v>0.2125</v>
      </c>
      <c r="K13" s="10" t="n">
        <v>0.1806</v>
      </c>
      <c r="L13" s="10" t="n">
        <v>0.1315</v>
      </c>
      <c r="M13" s="9" t="n">
        <v>-0.1629</v>
      </c>
      <c r="N13" s="9" t="n">
        <v>0.0052</v>
      </c>
      <c r="O13" s="9" t="n">
        <v>0.008200000000000001</v>
      </c>
      <c r="P13" s="9" t="n">
        <v>0.8694</v>
      </c>
      <c r="Q13" s="10" t="n">
        <v>-0.0342</v>
      </c>
      <c r="R13" s="9" t="n">
        <v>0.2077</v>
      </c>
      <c r="S13" s="9" t="n">
        <v>1</v>
      </c>
      <c r="T13" s="10" t="n">
        <v>1</v>
      </c>
      <c r="U13" s="9" t="n">
        <v>1</v>
      </c>
      <c r="V13" s="9" t="n">
        <v>3469009</v>
      </c>
      <c r="W13" s="9" t="n">
        <v>618194</v>
      </c>
      <c r="X13" s="10" t="n">
        <v>0</v>
      </c>
      <c r="Y13" s="9" t="n">
        <v>727982</v>
      </c>
      <c r="Z13" s="9" t="n">
        <v>120977</v>
      </c>
      <c r="AA13" s="10" t="n">
        <v>0.2129</v>
      </c>
      <c r="AB13" s="10" t="n">
        <v>0.1813</v>
      </c>
      <c r="AC13" s="10" t="n">
        <v>0.1425</v>
      </c>
      <c r="AD13" s="9" t="n">
        <v>-0.1606</v>
      </c>
      <c r="AE13" s="9" t="n">
        <v>0.0051</v>
      </c>
      <c r="AF13" s="9" t="n">
        <v>0.0152</v>
      </c>
      <c r="AG13" s="9" t="n">
        <v>0.8728</v>
      </c>
      <c r="AH13" s="10" t="n">
        <v>-0.0334</v>
      </c>
      <c r="AI13" s="9" t="n">
        <v>0.2077</v>
      </c>
      <c r="AJ13" s="9" t="n">
        <v>1</v>
      </c>
      <c r="AK13" s="10" t="n">
        <v>1</v>
      </c>
      <c r="AL13" s="9" t="n">
        <v>1</v>
      </c>
      <c r="AM13" s="9" t="n">
        <v>3419857</v>
      </c>
      <c r="AN13" s="9" t="n">
        <v>667346</v>
      </c>
      <c r="AO13" s="10" t="n">
        <v>0</v>
      </c>
      <c r="AP13" s="9" t="n">
        <v>664588</v>
      </c>
      <c r="AQ13" s="9" t="n">
        <v>184371</v>
      </c>
      <c r="AR13" s="10" t="n">
        <v>0.2044</v>
      </c>
      <c r="AS13" s="10" t="n">
        <v>0.2206</v>
      </c>
      <c r="AT13" s="10" t="n">
        <v>0.2172</v>
      </c>
      <c r="AU13" s="9" t="n">
        <v>0.0761</v>
      </c>
      <c r="AV13" s="9" t="n">
        <v>0.0012</v>
      </c>
      <c r="AW13" s="9" t="n">
        <v>0.0296</v>
      </c>
      <c r="AX13" s="9" t="n">
        <v>1.0619</v>
      </c>
      <c r="AY13" s="10" t="n">
        <v>0.0162</v>
      </c>
      <c r="AZ13" s="9" t="n">
        <v>0.2077</v>
      </c>
      <c r="BA13" s="9" t="n">
        <v>1.0619</v>
      </c>
      <c r="BB13" s="10" t="n">
        <v>0.0162</v>
      </c>
      <c r="BC13" s="9" t="n">
        <v>0.2077</v>
      </c>
      <c r="BD13" s="9" t="n">
        <v>664588</v>
      </c>
      <c r="BE13" s="9" t="n">
        <v>184371</v>
      </c>
      <c r="BF13" s="10" t="n">
        <v>0.0162</v>
      </c>
    </row>
    <row r="14">
      <c r="B14" s="11" t="n">
        <v>9</v>
      </c>
      <c r="C14" s="11" t="inlineStr">
        <is>
          <t>手机号近一个月非银多头机构数</t>
        </is>
      </c>
      <c r="D14" s="11" t="inlineStr">
        <is>
          <t>手机号近一个月非银多头机构数</t>
        </is>
      </c>
      <c r="E14" s="11" t="inlineStr">
        <is>
          <t>[16, 22)</t>
        </is>
      </c>
      <c r="F14" s="11" t="n">
        <v>1064285</v>
      </c>
      <c r="G14" s="12" t="n">
        <v>0.2604</v>
      </c>
      <c r="H14" s="11" t="n">
        <v>893063</v>
      </c>
      <c r="I14" s="11" t="n">
        <v>171222</v>
      </c>
      <c r="J14" s="12" t="n">
        <v>0.2574</v>
      </c>
      <c r="K14" s="12" t="n">
        <v>0.277</v>
      </c>
      <c r="L14" s="12" t="n">
        <v>0.1609</v>
      </c>
      <c r="M14" s="11" t="n">
        <v>0.0731</v>
      </c>
      <c r="N14" s="11" t="n">
        <v>0.0014</v>
      </c>
      <c r="O14" s="11" t="n">
        <v>0.008200000000000001</v>
      </c>
      <c r="P14" s="11" t="n">
        <v>1.0637</v>
      </c>
      <c r="Q14" s="12" t="n">
        <v>0.0224</v>
      </c>
      <c r="R14" s="11" t="n">
        <v>0.2604</v>
      </c>
      <c r="S14" s="11" t="n">
        <v>1.0342</v>
      </c>
      <c r="T14" s="12" t="n">
        <v>0.1306</v>
      </c>
      <c r="U14" s="11" t="n">
        <v>0.7923</v>
      </c>
      <c r="V14" s="11" t="n">
        <v>2731692</v>
      </c>
      <c r="W14" s="11" t="n">
        <v>506552</v>
      </c>
      <c r="X14" s="12" t="n">
        <v>0.0319</v>
      </c>
      <c r="Y14" s="11" t="n">
        <v>865552</v>
      </c>
      <c r="Z14" s="11" t="n">
        <v>198733</v>
      </c>
      <c r="AA14" s="12" t="n">
        <v>0.2531</v>
      </c>
      <c r="AB14" s="12" t="n">
        <v>0.2978</v>
      </c>
      <c r="AC14" s="12" t="n">
        <v>0.1867</v>
      </c>
      <c r="AD14" s="11" t="n">
        <v>0.1626</v>
      </c>
      <c r="AE14" s="11" t="n">
        <v>0.0073</v>
      </c>
      <c r="AF14" s="11" t="n">
        <v>0.0152</v>
      </c>
      <c r="AG14" s="11" t="n">
        <v>1.1436</v>
      </c>
      <c r="AH14" s="12" t="n">
        <v>0.0506</v>
      </c>
      <c r="AI14" s="11" t="n">
        <v>0.2604</v>
      </c>
      <c r="AJ14" s="11" t="n">
        <v>1.0334</v>
      </c>
      <c r="AK14" s="12" t="n">
        <v>0.1272</v>
      </c>
      <c r="AL14" s="11" t="n">
        <v>0.7923</v>
      </c>
      <c r="AM14" s="11" t="n">
        <v>2691875</v>
      </c>
      <c r="AN14" s="11" t="n">
        <v>546369</v>
      </c>
      <c r="AO14" s="12" t="n">
        <v>0.0316</v>
      </c>
      <c r="AP14" s="11" t="n">
        <v>807607</v>
      </c>
      <c r="AQ14" s="11" t="n">
        <v>256678</v>
      </c>
      <c r="AR14" s="12" t="n">
        <v>0.2484</v>
      </c>
      <c r="AS14" s="12" t="n">
        <v>0.3071</v>
      </c>
      <c r="AT14" s="12" t="n">
        <v>0.2412</v>
      </c>
      <c r="AU14" s="11" t="n">
        <v>0.2121</v>
      </c>
      <c r="AV14" s="11" t="n">
        <v>0.0124</v>
      </c>
      <c r="AW14" s="11" t="n">
        <v>0.0296</v>
      </c>
      <c r="AX14" s="11" t="n">
        <v>1.1793</v>
      </c>
      <c r="AY14" s="12" t="n">
        <v>0.0631</v>
      </c>
      <c r="AZ14" s="11" t="n">
        <v>0.2604</v>
      </c>
      <c r="BA14" s="11" t="n">
        <v>1.1272</v>
      </c>
      <c r="BB14" s="12" t="n">
        <v>0.112</v>
      </c>
      <c r="BC14" s="11" t="n">
        <v>0.4681</v>
      </c>
      <c r="BD14" s="11" t="n">
        <v>1472195</v>
      </c>
      <c r="BE14" s="11" t="n">
        <v>441049</v>
      </c>
      <c r="BF14" s="12" t="n">
        <v>0.07489999999999999</v>
      </c>
    </row>
    <row r="15">
      <c r="B15" s="9" t="n">
        <v>10</v>
      </c>
      <c r="C15" s="9" t="inlineStr">
        <is>
          <t>手机号近一个月非银多头机构数</t>
        </is>
      </c>
      <c r="D15" s="9" t="inlineStr">
        <is>
          <t>手机号近一个月非银多头机构数</t>
        </is>
      </c>
      <c r="E15" s="9" t="inlineStr">
        <is>
          <t>[22, 28)</t>
        </is>
      </c>
      <c r="F15" s="9" t="n">
        <v>974025</v>
      </c>
      <c r="G15" s="10" t="n">
        <v>0.2383</v>
      </c>
      <c r="H15" s="9" t="n">
        <v>830655</v>
      </c>
      <c r="I15" s="9" t="n">
        <v>143370</v>
      </c>
      <c r="J15" s="10" t="n">
        <v>0.2394</v>
      </c>
      <c r="K15" s="10" t="n">
        <v>0.2319</v>
      </c>
      <c r="L15" s="10" t="n">
        <v>0.1472</v>
      </c>
      <c r="M15" s="9" t="n">
        <v>-0.032</v>
      </c>
      <c r="N15" s="9" t="n">
        <v>0.0002</v>
      </c>
      <c r="O15" s="9" t="n">
        <v>0.008200000000000001</v>
      </c>
      <c r="P15" s="9" t="n">
        <v>0.9732</v>
      </c>
      <c r="Q15" s="10" t="n">
        <v>-0.008399999999999999</v>
      </c>
      <c r="R15" s="9" t="n">
        <v>0.2383</v>
      </c>
      <c r="S15" s="9" t="n">
        <v>1.0198</v>
      </c>
      <c r="T15" s="10" t="n">
        <v>0.0225</v>
      </c>
      <c r="U15" s="9" t="n">
        <v>0.5319</v>
      </c>
      <c r="V15" s="9" t="n">
        <v>1838629</v>
      </c>
      <c r="W15" s="9" t="n">
        <v>335330</v>
      </c>
      <c r="X15" s="10" t="n">
        <v>0.0124</v>
      </c>
      <c r="Y15" s="9" t="n">
        <v>828376</v>
      </c>
      <c r="Z15" s="9" t="n">
        <v>145649</v>
      </c>
      <c r="AA15" s="10" t="n">
        <v>0.2422</v>
      </c>
      <c r="AB15" s="10" t="n">
        <v>0.2183</v>
      </c>
      <c r="AC15" s="10" t="n">
        <v>0.1495</v>
      </c>
      <c r="AD15" s="9" t="n">
        <v>-0.1042</v>
      </c>
      <c r="AE15" s="9" t="n">
        <v>0.0025</v>
      </c>
      <c r="AF15" s="9" t="n">
        <v>0.0152</v>
      </c>
      <c r="AG15" s="9" t="n">
        <v>0.9157999999999999</v>
      </c>
      <c r="AH15" s="10" t="n">
        <v>-0.0263</v>
      </c>
      <c r="AI15" s="9" t="n">
        <v>0.2383</v>
      </c>
      <c r="AJ15" s="9" t="n">
        <v>0.9794</v>
      </c>
      <c r="AK15" s="10" t="n">
        <v>-0.0234</v>
      </c>
      <c r="AL15" s="9" t="n">
        <v>0.5319</v>
      </c>
      <c r="AM15" s="9" t="n">
        <v>1826323</v>
      </c>
      <c r="AN15" s="9" t="n">
        <v>347636</v>
      </c>
      <c r="AO15" s="10" t="n">
        <v>0.0131</v>
      </c>
      <c r="AP15" s="9" t="n">
        <v>812822</v>
      </c>
      <c r="AQ15" s="9" t="n">
        <v>161203</v>
      </c>
      <c r="AR15" s="10" t="n">
        <v>0.25</v>
      </c>
      <c r="AS15" s="10" t="n">
        <v>0.1929</v>
      </c>
      <c r="AT15" s="10" t="n">
        <v>0.1655</v>
      </c>
      <c r="AU15" s="9" t="n">
        <v>-0.2595</v>
      </c>
      <c r="AV15" s="9" t="n">
        <v>0.0148</v>
      </c>
      <c r="AW15" s="9" t="n">
        <v>0.0296</v>
      </c>
      <c r="AX15" s="9" t="n">
        <v>0.8093</v>
      </c>
      <c r="AY15" s="10" t="n">
        <v>-0.0597</v>
      </c>
      <c r="AZ15" s="9" t="n">
        <v>0.2383</v>
      </c>
      <c r="BA15" s="9" t="n">
        <v>1.02</v>
      </c>
      <c r="BB15" s="10" t="n">
        <v>0.048</v>
      </c>
      <c r="BC15" s="9" t="n">
        <v>0.7064</v>
      </c>
      <c r="BD15" s="9" t="n">
        <v>2285017</v>
      </c>
      <c r="BE15" s="9" t="n">
        <v>602252</v>
      </c>
      <c r="BF15" s="10" t="n">
        <v>0.0177</v>
      </c>
    </row>
    <row r="16">
      <c r="B16" s="11" t="n">
        <v>11</v>
      </c>
      <c r="C16" s="11" t="inlineStr">
        <is>
          <t>手机号近一个月非银多头机构数</t>
        </is>
      </c>
      <c r="D16" s="11" t="inlineStr">
        <is>
          <t>手机号近一个月非银多头机构数</t>
        </is>
      </c>
      <c r="E16" s="11" t="inlineStr">
        <is>
          <t>[28, +inf)</t>
        </is>
      </c>
      <c r="F16" s="11" t="n">
        <v>1199934</v>
      </c>
      <c r="G16" s="12" t="n">
        <v>0.2936</v>
      </c>
      <c r="H16" s="11" t="n">
        <v>1007974</v>
      </c>
      <c r="I16" s="11" t="n">
        <v>191960</v>
      </c>
      <c r="J16" s="12" t="n">
        <v>0.2906</v>
      </c>
      <c r="K16" s="12" t="n">
        <v>0.3105</v>
      </c>
      <c r="L16" s="12" t="n">
        <v>0.16</v>
      </c>
      <c r="M16" s="11" t="n">
        <v>0.0664</v>
      </c>
      <c r="N16" s="11" t="n">
        <v>0.0013</v>
      </c>
      <c r="O16" s="11" t="n">
        <v>0.008200000000000001</v>
      </c>
      <c r="P16" s="11" t="n">
        <v>1.0577</v>
      </c>
      <c r="Q16" s="12" t="n">
        <v>0.024</v>
      </c>
      <c r="R16" s="11" t="n">
        <v>0.2936</v>
      </c>
      <c r="S16" s="11" t="n">
        <v>1.0577</v>
      </c>
      <c r="T16" s="12" t="n">
        <v>0.024</v>
      </c>
      <c r="U16" s="11" t="n">
        <v>0.2936</v>
      </c>
      <c r="V16" s="11" t="n">
        <v>1007974</v>
      </c>
      <c r="W16" s="11" t="n">
        <v>191960</v>
      </c>
      <c r="X16" s="12" t="n">
        <v>0.02</v>
      </c>
      <c r="Y16" s="11" t="n">
        <v>997947</v>
      </c>
      <c r="Z16" s="11" t="n">
        <v>201987</v>
      </c>
      <c r="AA16" s="12" t="n">
        <v>0.2918</v>
      </c>
      <c r="AB16" s="12" t="n">
        <v>0.3027</v>
      </c>
      <c r="AC16" s="12" t="n">
        <v>0.1683</v>
      </c>
      <c r="AD16" s="11" t="n">
        <v>0.0365</v>
      </c>
      <c r="AE16" s="11" t="n">
        <v>0.0004</v>
      </c>
      <c r="AF16" s="11" t="n">
        <v>0.0152</v>
      </c>
      <c r="AG16" s="11" t="n">
        <v>1.031</v>
      </c>
      <c r="AH16" s="12" t="n">
        <v>0.0129</v>
      </c>
      <c r="AI16" s="11" t="n">
        <v>0.2936</v>
      </c>
      <c r="AJ16" s="11" t="n">
        <v>1.031</v>
      </c>
      <c r="AK16" s="12" t="n">
        <v>0.0129</v>
      </c>
      <c r="AL16" s="11" t="n">
        <v>0.2936</v>
      </c>
      <c r="AM16" s="11" t="n">
        <v>997947</v>
      </c>
      <c r="AN16" s="11" t="n">
        <v>201987</v>
      </c>
      <c r="AO16" s="12" t="n">
        <v>0.0109</v>
      </c>
      <c r="AP16" s="11" t="n">
        <v>966323</v>
      </c>
      <c r="AQ16" s="11" t="n">
        <v>233611</v>
      </c>
      <c r="AR16" s="12" t="n">
        <v>0.2972</v>
      </c>
      <c r="AS16" s="12" t="n">
        <v>0.2795</v>
      </c>
      <c r="AT16" s="12" t="n">
        <v>0.1947</v>
      </c>
      <c r="AU16" s="11" t="n">
        <v>-0.0615</v>
      </c>
      <c r="AV16" s="11" t="n">
        <v>0.0011</v>
      </c>
      <c r="AW16" s="11" t="n">
        <v>0.0296</v>
      </c>
      <c r="AX16" s="11" t="n">
        <v>0.952</v>
      </c>
      <c r="AY16" s="12" t="n">
        <v>-0.02</v>
      </c>
      <c r="AZ16" s="11" t="n">
        <v>0.2936</v>
      </c>
      <c r="BA16" s="11" t="n">
        <v>1</v>
      </c>
      <c r="BB16" s="12" t="n">
        <v>1</v>
      </c>
      <c r="BC16" s="11" t="n">
        <v>1</v>
      </c>
      <c r="BD16" s="11" t="n">
        <v>3251340</v>
      </c>
      <c r="BE16" s="11" t="n">
        <v>835863</v>
      </c>
      <c r="BF16" s="12" t="n">
        <v>0</v>
      </c>
    </row>
    <row r="17">
      <c r="B17" s="13" t="n">
        <v>12</v>
      </c>
      <c r="C17" s="13" t="inlineStr">
        <is>
          <t>衡枢鉴真分老客版</t>
        </is>
      </c>
      <c r="D17" s="13" t="inlineStr">
        <is>
          <t>衡枢鉴真分老客版</t>
        </is>
      </c>
      <c r="E17" s="13" t="inlineStr">
        <is>
          <t>合计</t>
        </is>
      </c>
      <c r="F17" s="13" t="n">
        <v>12261609</v>
      </c>
      <c r="G17" s="14" t="n">
        <v>1</v>
      </c>
      <c r="H17" s="13" t="n">
        <v>10407027</v>
      </c>
      <c r="I17" s="13" t="n">
        <v>1854582</v>
      </c>
      <c r="J17" s="14" t="n">
        <v>1</v>
      </c>
      <c r="K17" s="14" t="n">
        <v>1</v>
      </c>
      <c r="L17" s="14" t="n">
        <v>0.1513</v>
      </c>
      <c r="M17" s="13" t="n">
        <v>0</v>
      </c>
      <c r="N17" s="13" t="n">
        <v>0</v>
      </c>
      <c r="O17" s="13" t="n">
        <v>0.1814</v>
      </c>
      <c r="P17" s="13" t="n">
        <v>1</v>
      </c>
      <c r="Q17" s="14" t="n">
        <v>0</v>
      </c>
      <c r="R17" s="13" t="n">
        <v>0</v>
      </c>
      <c r="S17" s="13" t="n">
        <v>1</v>
      </c>
      <c r="T17" s="14" t="n">
        <v>1</v>
      </c>
      <c r="U17" s="13" t="n">
        <v>1</v>
      </c>
      <c r="V17" s="13" t="n">
        <v>10407027</v>
      </c>
      <c r="W17" s="13" t="n">
        <v>1854582</v>
      </c>
      <c r="X17" s="14" t="n">
        <v>0.1615</v>
      </c>
      <c r="Y17" s="13" t="n">
        <v>10259571</v>
      </c>
      <c r="Z17" s="13" t="n">
        <v>2002038</v>
      </c>
      <c r="AA17" s="14" t="n">
        <v>1</v>
      </c>
      <c r="AB17" s="14" t="n">
        <v>1</v>
      </c>
      <c r="AC17" s="14" t="n">
        <v>0.1633</v>
      </c>
      <c r="AD17" s="13" t="n">
        <v>0</v>
      </c>
      <c r="AE17" s="13" t="n">
        <v>0</v>
      </c>
      <c r="AF17" s="13" t="n">
        <v>0.1287</v>
      </c>
      <c r="AG17" s="13" t="n">
        <v>1</v>
      </c>
      <c r="AH17" s="14" t="n">
        <v>0</v>
      </c>
      <c r="AI17" s="13" t="n">
        <v>0</v>
      </c>
      <c r="AJ17" s="13" t="n">
        <v>1</v>
      </c>
      <c r="AK17" s="14" t="n">
        <v>1</v>
      </c>
      <c r="AL17" s="13" t="n">
        <v>1</v>
      </c>
      <c r="AM17" s="13" t="n">
        <v>10259571</v>
      </c>
      <c r="AN17" s="13" t="n">
        <v>2002038</v>
      </c>
      <c r="AO17" s="14" t="n">
        <v>0.1354</v>
      </c>
      <c r="AP17" s="13" t="n">
        <v>9754020</v>
      </c>
      <c r="AQ17" s="13" t="n">
        <v>2507589</v>
      </c>
      <c r="AR17" s="14" t="n">
        <v>1</v>
      </c>
      <c r="AS17" s="14" t="n">
        <v>1</v>
      </c>
      <c r="AT17" s="14" t="n">
        <v>0.2045</v>
      </c>
      <c r="AU17" s="13" t="n">
        <v>0</v>
      </c>
      <c r="AV17" s="13" t="n">
        <v>0</v>
      </c>
      <c r="AW17" s="13" t="n">
        <v>0.1053</v>
      </c>
      <c r="AX17" s="13" t="n">
        <v>1</v>
      </c>
      <c r="AY17" s="14" t="n">
        <v>0</v>
      </c>
      <c r="AZ17" s="13" t="n">
        <v>0</v>
      </c>
      <c r="BA17" s="13" t="n">
        <v>1</v>
      </c>
      <c r="BB17" s="14" t="n">
        <v>1</v>
      </c>
      <c r="BC17" s="13" t="n">
        <v>1</v>
      </c>
      <c r="BD17" s="13" t="n">
        <v>9754020</v>
      </c>
      <c r="BE17" s="13" t="n">
        <v>2507589</v>
      </c>
      <c r="BF17" s="14" t="n">
        <v>0.1303</v>
      </c>
    </row>
  </sheetData>
  <mergeCells count="5">
    <mergeCell ref="B2:BF2"/>
    <mergeCell ref="H3:X3"/>
    <mergeCell ref="Y3:AO3"/>
    <mergeCell ref="AP3:BF3"/>
    <mergeCell ref="C3:G3"/>
  </mergeCells>
  <conditionalFormatting sqref="L5:L17">
    <cfRule type="dataBar" priority="1">
      <dataBar>
        <cfvo type="min"/>
        <cfvo type="max"/>
        <color rgb="00F76E6C"/>
      </dataBar>
    </cfRule>
  </conditionalFormatting>
  <conditionalFormatting sqref="O5:O17">
    <cfRule type="dataBar" priority="2">
      <dataBar>
        <cfvo type="min"/>
        <cfvo type="max"/>
        <color rgb="00F76E6C"/>
      </dataBar>
    </cfRule>
  </conditionalFormatting>
  <conditionalFormatting sqref="P5:P17">
    <cfRule type="dataBar" priority="3">
      <dataBar>
        <cfvo type="min"/>
        <cfvo type="max"/>
        <color rgb="00F76E6C"/>
      </dataBar>
    </cfRule>
  </conditionalFormatting>
  <conditionalFormatting sqref="AC5:AC17">
    <cfRule type="dataBar" priority="4">
      <dataBar>
        <cfvo type="min"/>
        <cfvo type="max"/>
        <color rgb="00F76E6C"/>
      </dataBar>
    </cfRule>
  </conditionalFormatting>
  <conditionalFormatting sqref="AF5:AF17">
    <cfRule type="dataBar" priority="5">
      <dataBar>
        <cfvo type="min"/>
        <cfvo type="max"/>
        <color rgb="00F76E6C"/>
      </dataBar>
    </cfRule>
  </conditionalFormatting>
  <conditionalFormatting sqref="AG5:AG17">
    <cfRule type="dataBar" priority="6">
      <dataBar>
        <cfvo type="min"/>
        <cfvo type="max"/>
        <color rgb="00F76E6C"/>
      </dataBar>
    </cfRule>
  </conditionalFormatting>
  <conditionalFormatting sqref="AT5:AT17">
    <cfRule type="dataBar" priority="7">
      <dataBar>
        <cfvo type="min"/>
        <cfvo type="max"/>
        <color rgb="00F76E6C"/>
      </dataBar>
    </cfRule>
  </conditionalFormatting>
  <conditionalFormatting sqref="AW5:AW17">
    <cfRule type="dataBar" priority="8">
      <dataBar>
        <cfvo type="min"/>
        <cfvo type="max"/>
        <color rgb="00F76E6C"/>
      </dataBar>
    </cfRule>
  </conditionalFormatting>
  <conditionalFormatting sqref="AX5:AX17">
    <cfRule type="dataBar" priority="9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6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8.8" customWidth="1" style="1" min="2" max="2"/>
    <col width="10.4" customWidth="1" style="1" min="3" max="16384"/>
    <col width="10.4" customWidth="1" style="1" min="4" max="4"/>
    <col width="39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8.8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category_table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商品类别</t>
        </is>
      </c>
      <c r="D4" s="9" t="inlineStr">
        <is>
          <t>商品类别</t>
        </is>
      </c>
      <c r="E4" s="9" t="inlineStr">
        <is>
          <t>智能设备,家用电器,电脑数码,手机通讯</t>
        </is>
      </c>
      <c r="F4" s="9" t="n">
        <v>167</v>
      </c>
      <c r="G4" s="9" t="n">
        <v>150</v>
      </c>
      <c r="H4" s="9" t="n">
        <v>17</v>
      </c>
      <c r="I4" s="10" t="n">
        <v>0.1722</v>
      </c>
      <c r="J4" s="10" t="n">
        <v>0.1799</v>
      </c>
      <c r="K4" s="10" t="n">
        <v>0.125</v>
      </c>
      <c r="L4" s="10" t="n">
        <v>0.1018</v>
      </c>
      <c r="M4" s="9" t="n">
        <v>-0.3638</v>
      </c>
      <c r="N4" s="9" t="n">
        <v>0.02</v>
      </c>
      <c r="O4" s="9" t="n">
        <v>0.0235</v>
      </c>
      <c r="P4" s="9" t="n">
        <v>0.726</v>
      </c>
      <c r="Q4" s="10" t="n">
        <v>-0.057</v>
      </c>
      <c r="R4" s="9" t="n">
        <v>-0.3309</v>
      </c>
      <c r="S4" s="9" t="n">
        <v>1</v>
      </c>
      <c r="T4" s="10" t="n">
        <v>1</v>
      </c>
      <c r="U4" s="9" t="n">
        <v>1</v>
      </c>
      <c r="V4" s="9" t="n">
        <v>834</v>
      </c>
      <c r="W4" s="9" t="n">
        <v>136</v>
      </c>
      <c r="X4" s="10" t="n">
        <v>0</v>
      </c>
    </row>
    <row r="5">
      <c r="B5" s="11" t="n">
        <v>1</v>
      </c>
      <c r="C5" s="11" t="inlineStr">
        <is>
          <t>商品类别</t>
        </is>
      </c>
      <c r="D5" s="11" t="inlineStr">
        <is>
          <t>商品类别</t>
        </is>
      </c>
      <c r="E5" s="11" t="inlineStr">
        <is>
          <t>礼包,珠宝首饰</t>
        </is>
      </c>
      <c r="F5" s="11" t="n">
        <v>803</v>
      </c>
      <c r="G5" s="11" t="n">
        <v>684</v>
      </c>
      <c r="H5" s="11" t="n">
        <v>119</v>
      </c>
      <c r="I5" s="12" t="n">
        <v>0.8278</v>
      </c>
      <c r="J5" s="12" t="n">
        <v>0.8201000000000001</v>
      </c>
      <c r="K5" s="12" t="n">
        <v>0.875</v>
      </c>
      <c r="L5" s="12" t="n">
        <v>0.1482</v>
      </c>
      <c r="M5" s="11" t="n">
        <v>0.06469999999999999</v>
      </c>
      <c r="N5" s="11" t="n">
        <v>0.0036</v>
      </c>
      <c r="O5" s="11" t="n">
        <v>0.0235</v>
      </c>
      <c r="P5" s="11" t="n">
        <v>1.057</v>
      </c>
      <c r="Q5" s="12" t="n">
        <v>0.274</v>
      </c>
      <c r="R5" s="11" t="n">
        <v>0.3309</v>
      </c>
      <c r="S5" s="11" t="n">
        <v>1.057</v>
      </c>
      <c r="T5" s="12" t="n">
        <v>0.274</v>
      </c>
      <c r="U5" s="11" t="n">
        <v>0.3309</v>
      </c>
      <c r="V5" s="11" t="n">
        <v>684</v>
      </c>
      <c r="W5" s="11" t="n">
        <v>119</v>
      </c>
      <c r="X5" s="12" t="n">
        <v>0.0549</v>
      </c>
    </row>
    <row r="6">
      <c r="B6" s="13" t="n">
        <v>2</v>
      </c>
      <c r="C6" s="13" t="inlineStr">
        <is>
          <t>商品类别</t>
        </is>
      </c>
      <c r="D6" s="13" t="inlineStr">
        <is>
          <t>商品类别</t>
        </is>
      </c>
      <c r="E6" s="13" t="inlineStr">
        <is>
          <t>合计</t>
        </is>
      </c>
      <c r="F6" s="13" t="n">
        <v>970</v>
      </c>
      <c r="G6" s="13" t="n">
        <v>834</v>
      </c>
      <c r="H6" s="13" t="n">
        <v>136</v>
      </c>
      <c r="I6" s="14" t="n">
        <v>1</v>
      </c>
      <c r="J6" s="14" t="n">
        <v>1</v>
      </c>
      <c r="K6" s="14" t="n">
        <v>1</v>
      </c>
      <c r="L6" s="14" t="n">
        <v>0.1402</v>
      </c>
      <c r="M6" s="13" t="n">
        <v>0</v>
      </c>
      <c r="N6" s="13" t="n">
        <v>0</v>
      </c>
      <c r="O6" s="13" t="n">
        <v>0.0235</v>
      </c>
      <c r="P6" s="13" t="n">
        <v>1</v>
      </c>
      <c r="Q6" s="14" t="n">
        <v>0</v>
      </c>
      <c r="R6" s="13" t="n">
        <v>0</v>
      </c>
      <c r="S6" s="13" t="n">
        <v>1</v>
      </c>
      <c r="T6" s="14" t="n">
        <v>1</v>
      </c>
      <c r="U6" s="13" t="n">
        <v>1</v>
      </c>
      <c r="V6" s="13" t="n">
        <v>834</v>
      </c>
      <c r="W6" s="13" t="n">
        <v>136</v>
      </c>
      <c r="X6" s="14" t="n">
        <v>0.0549</v>
      </c>
    </row>
  </sheetData>
  <mergeCells count="1">
    <mergeCell ref="B2:X2"/>
  </mergeCells>
  <conditionalFormatting sqref="L4:L6">
    <cfRule type="dataBar" priority="1">
      <dataBar>
        <cfvo type="min"/>
        <cfvo type="max"/>
        <color rgb="00F76E6C"/>
      </dataBar>
    </cfRule>
  </conditionalFormatting>
  <conditionalFormatting sqref="O4:O6">
    <cfRule type="dataBar" priority="2">
      <dataBar>
        <cfvo type="min"/>
        <cfvo type="max"/>
        <color rgb="00F76E6C"/>
      </dataBar>
    </cfRule>
  </conditionalFormatting>
  <conditionalFormatting sqref="P4:P6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2026-10-09T03:21:42Z</dcterms:modified>
  <cp:lastModifiedBy>Microsoft Office User</cp:lastModifiedBy>
</cp:coreProperties>
</file>