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原始表1" sheetId="1" state="visible" r:id="rId1"/>
    <sheet xmlns:r="http://schemas.openxmlformats.org/officeDocument/2006/relationships" name="原始表2" sheetId="2" state="visible" r:id="rId2"/>
    <sheet xmlns:r="http://schemas.openxmlformats.org/officeDocument/2006/relationships" name="原始表3" sheetId="3" state="visible" r:id="rId3"/>
    <sheet xmlns:r="http://schemas.openxmlformats.org/officeDocument/2006/relationships" name="原始表4" sheetId="4" state="visible" r:id="rId4"/>
    <sheet xmlns:r="http://schemas.openxmlformats.org/officeDocument/2006/relationships" name="原始表5" sheetId="5" state="visible" r:id="rId5"/>
    <sheet xmlns:r="http://schemas.openxmlformats.org/officeDocument/2006/relationships" name="原始表6" sheetId="6" state="visible" r:id="rId6"/>
    <sheet xmlns:r="http://schemas.openxmlformats.org/officeDocument/2006/relationships" name="原始表7" sheetId="7" state="visible" r:id="rId7"/>
    <sheet xmlns:r="http://schemas.openxmlformats.org/officeDocument/2006/relationships" name="原始表8" sheetId="8" state="visible" r:id="rId8"/>
    <sheet xmlns:r="http://schemas.openxmlformats.org/officeDocument/2006/relationships" name="原始表9" sheetId="9" state="visible" r:id="rId9"/>
    <sheet xmlns:r="http://schemas.openxmlformats.org/officeDocument/2006/relationships" name="原始表10" sheetId="10" state="visible" r:id="rId10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2" applyAlignment="1" pivotButton="0" quotePrefix="0" xfId="1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" fillId="3" borderId="3" applyAlignment="1" pivotButton="0" quotePrefix="0" xfId="2">
      <alignment horizontal="center" vertical="center"/>
    </xf>
    <xf numFmtId="0" fontId="3" fillId="3" borderId="4" applyAlignment="1" pivotButton="0" quotePrefix="0" xfId="3">
      <alignment horizontal="center" vertical="center"/>
    </xf>
    <xf numFmtId="0" fontId="0" fillId="0" borderId="29" pivotButton="0" quotePrefix="0" xfId="0"/>
    <xf numFmtId="0" fontId="3" fillId="3" borderId="5" applyAlignment="1" pivotButton="0" quotePrefix="0" xfId="4">
      <alignment horizontal="center" vertical="center"/>
    </xf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4" borderId="23" applyAlignment="1" pivotButton="0" quotePrefix="0" xfId="23">
      <alignment horizontal="center" vertical="center"/>
    </xf>
    <xf numFmtId="10" fontId="4" fillId="4" borderId="23" applyAlignment="1" pivotButton="0" quotePrefix="0" xfId="23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3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8.8" customWidth="1" style="1" min="2" max="2"/>
    <col width="11.6" customWidth="1" style="1" min="3" max="16384"/>
    <col width="31.4" customWidth="1" style="1" min="4" max="4"/>
    <col width="10.7" customWidth="1" style="1" min="5" max="5"/>
    <col width="9.199999999999999" customWidth="1" style="1" min="6" max="6"/>
    <col width="10.7" customWidth="1" style="1" min="7" max="7"/>
    <col width="10.4" customWidth="1" style="1" min="8" max="8"/>
    <col width="10.4" customWidth="1" style="1" min="9" max="9"/>
  </cols>
  <sheetData>
    <row r="1"/>
    <row r="2">
      <c r="B2" s="2" t="inlineStr">
        <is>
          <t>method_summary</t>
        </is>
      </c>
      <c r="C2" s="3" t="n"/>
      <c r="D2" s="3" t="n"/>
      <c r="E2" s="3" t="n"/>
      <c r="F2" s="3" t="n"/>
      <c r="G2" s="3" t="n"/>
      <c r="H2" s="3" t="n"/>
      <c r="I2" s="4" t="n"/>
    </row>
    <row r="3">
      <c r="B3" s="5" t="n"/>
      <c r="C3" s="6" t="inlineStr">
        <is>
          <t>分箱详情</t>
        </is>
      </c>
      <c r="D3" s="7" t="n"/>
      <c r="E3" s="6" t="inlineStr">
        <is>
          <t>分档KS值</t>
        </is>
      </c>
      <c r="F3" s="6" t="inlineStr">
        <is>
          <t>LIFT值</t>
        </is>
      </c>
      <c r="G3" s="6" t="inlineStr">
        <is>
          <t>指标IV值</t>
        </is>
      </c>
      <c r="H3" s="6" t="inlineStr">
        <is>
          <t>坏样本数</t>
        </is>
      </c>
      <c r="I3" s="8" t="inlineStr">
        <is>
          <t>坏样本率</t>
        </is>
      </c>
    </row>
    <row r="4">
      <c r="B4" s="5" t="n"/>
      <c r="C4" s="6" t="inlineStr">
        <is>
          <t>分箱方法</t>
        </is>
      </c>
      <c r="D4" s="6" t="inlineStr">
        <is>
          <t>指标名称</t>
        </is>
      </c>
      <c r="E4" s="8" t="inlineStr">
        <is>
          <t>FPD</t>
        </is>
      </c>
      <c r="F4" s="3" t="n"/>
      <c r="G4" s="3" t="n"/>
      <c r="H4" s="3" t="n"/>
      <c r="I4" s="4" t="n"/>
    </row>
    <row r="5">
      <c r="B5" s="9" t="n">
        <v>0</v>
      </c>
      <c r="C5" s="9" t="inlineStr">
        <is>
          <t>quantile</t>
        </is>
      </c>
      <c r="D5" s="9" t="inlineStr">
        <is>
          <t>衡枢鉴真分老客版</t>
        </is>
      </c>
      <c r="E5" s="10" t="n">
        <v>0.1619</v>
      </c>
      <c r="F5" s="9" t="n">
        <v>1.5556</v>
      </c>
      <c r="G5" s="9" t="n">
        <v>0.1665</v>
      </c>
      <c r="H5" s="9" t="n">
        <v>136</v>
      </c>
      <c r="I5" s="10" t="n">
        <v>0.1402</v>
      </c>
    </row>
    <row r="6">
      <c r="B6" s="11" t="n">
        <v>1</v>
      </c>
      <c r="C6" s="11" t="inlineStr">
        <is>
          <t>quantile</t>
        </is>
      </c>
      <c r="D6" s="11" t="inlineStr">
        <is>
          <t>近六个月非银多头机构数</t>
        </is>
      </c>
      <c r="E6" s="12" t="n">
        <v>0.0804</v>
      </c>
      <c r="F6" s="11" t="n">
        <v>1.257</v>
      </c>
      <c r="G6" s="11" t="n">
        <v>0.0349</v>
      </c>
      <c r="H6" s="11" t="n">
        <v>136</v>
      </c>
      <c r="I6" s="12" t="n">
        <v>0.1402</v>
      </c>
    </row>
    <row r="7">
      <c r="B7" s="9" t="n">
        <v>2</v>
      </c>
      <c r="C7" s="9" t="inlineStr">
        <is>
          <t>quantile</t>
        </is>
      </c>
      <c r="D7" s="9" t="inlineStr">
        <is>
          <t>手机号近一个月非银多头机构数</t>
        </is>
      </c>
      <c r="E7" s="10" t="n">
        <v>0.0513</v>
      </c>
      <c r="F7" s="9" t="n">
        <v>1.158</v>
      </c>
      <c r="G7" s="9" t="n">
        <v>0.0405</v>
      </c>
      <c r="H7" s="9" t="n">
        <v>136</v>
      </c>
      <c r="I7" s="10" t="n">
        <v>0.1402</v>
      </c>
    </row>
    <row r="8">
      <c r="B8" s="11" t="n">
        <v>3</v>
      </c>
      <c r="C8" s="11" t="inlineStr">
        <is>
          <t>cart</t>
        </is>
      </c>
      <c r="D8" s="11" t="inlineStr">
        <is>
          <t>衡枢鉴真分老客版</t>
        </is>
      </c>
      <c r="E8" s="12" t="n">
        <v>0.1203</v>
      </c>
      <c r="F8" s="11" t="n">
        <v>3.269</v>
      </c>
      <c r="G8" s="11" t="n">
        <v>0.2063</v>
      </c>
      <c r="H8" s="11" t="n">
        <v>136</v>
      </c>
      <c r="I8" s="12" t="n">
        <v>0.1402</v>
      </c>
    </row>
    <row r="9">
      <c r="B9" s="9" t="n">
        <v>4</v>
      </c>
      <c r="C9" s="9" t="inlineStr">
        <is>
          <t>cart</t>
        </is>
      </c>
      <c r="D9" s="9" t="inlineStr">
        <is>
          <t>近六个月非银多头机构数</t>
        </is>
      </c>
      <c r="E9" s="10" t="n">
        <v>0.1036</v>
      </c>
      <c r="F9" s="9" t="n">
        <v>2.8529</v>
      </c>
      <c r="G9" s="9" t="n">
        <v>0.07480000000000001</v>
      </c>
      <c r="H9" s="9" t="n">
        <v>136</v>
      </c>
      <c r="I9" s="10" t="n">
        <v>0.1402</v>
      </c>
    </row>
    <row r="10">
      <c r="B10" s="11" t="n">
        <v>5</v>
      </c>
      <c r="C10" s="11" t="inlineStr">
        <is>
          <t>cart</t>
        </is>
      </c>
      <c r="D10" s="11" t="inlineStr">
        <is>
          <t>手机号近一个月非银多头机构数</t>
        </is>
      </c>
      <c r="E10" s="12" t="n">
        <v>0.0543</v>
      </c>
      <c r="F10" s="11" t="n">
        <v>2.1613</v>
      </c>
      <c r="G10" s="11" t="n">
        <v>0.063</v>
      </c>
      <c r="H10" s="11" t="n">
        <v>136</v>
      </c>
      <c r="I10" s="12" t="n">
        <v>0.1402</v>
      </c>
    </row>
    <row r="11">
      <c r="B11" s="9" t="n">
        <v>6</v>
      </c>
      <c r="C11" s="9" t="inlineStr">
        <is>
          <t>best_iv</t>
        </is>
      </c>
      <c r="D11" s="9" t="inlineStr">
        <is>
          <t>衡枢鉴真分老客版</t>
        </is>
      </c>
      <c r="E11" s="10" t="n">
        <v>0.1739</v>
      </c>
      <c r="F11" s="9" t="n">
        <v>2.62</v>
      </c>
      <c r="G11" s="9" t="n">
        <v>0.2704</v>
      </c>
      <c r="H11" s="9" t="n">
        <v>136</v>
      </c>
      <c r="I11" s="10" t="n">
        <v>0.1402</v>
      </c>
    </row>
    <row r="12">
      <c r="B12" s="11" t="n">
        <v>7</v>
      </c>
      <c r="C12" s="11" t="inlineStr">
        <is>
          <t>best_iv</t>
        </is>
      </c>
      <c r="D12" s="11" t="inlineStr">
        <is>
          <t>近六个月非银多头机构数</t>
        </is>
      </c>
      <c r="E12" s="12" t="n">
        <v>0.1093</v>
      </c>
      <c r="F12" s="11" t="n">
        <v>1.5561</v>
      </c>
      <c r="G12" s="11" t="n">
        <v>0.0692</v>
      </c>
      <c r="H12" s="11" t="n">
        <v>136</v>
      </c>
      <c r="I12" s="12" t="n">
        <v>0.1402</v>
      </c>
    </row>
    <row r="13">
      <c r="B13" s="13" t="n">
        <v>8</v>
      </c>
      <c r="C13" s="13" t="inlineStr">
        <is>
          <t>best_iv</t>
        </is>
      </c>
      <c r="D13" s="13" t="inlineStr">
        <is>
          <t>手机号近一个月非银多头机构数</t>
        </is>
      </c>
      <c r="E13" s="14" t="n">
        <v>0.0543</v>
      </c>
      <c r="F13" s="13" t="n">
        <v>2.1613</v>
      </c>
      <c r="G13" s="13" t="n">
        <v>0.063</v>
      </c>
      <c r="H13" s="13" t="n">
        <v>136</v>
      </c>
      <c r="I13" s="14" t="n">
        <v>0.1402</v>
      </c>
    </row>
  </sheetData>
  <mergeCells count="3">
    <mergeCell ref="C3:D3"/>
    <mergeCell ref="B2:I2"/>
    <mergeCell ref="E4:I4"/>
  </mergeCells>
  <conditionalFormatting sqref="F5:F13">
    <cfRule type="dataBar" priority="1">
      <dataBar>
        <cfvo type="min"/>
        <cfvo type="max"/>
        <color rgb="00F76E6C"/>
      </dataBar>
    </cfRule>
  </conditionalFormatting>
  <conditionalFormatting sqref="G5:G13">
    <cfRule type="dataBar" priority="2">
      <dataBar>
        <cfvo type="min"/>
        <cfvo type="max"/>
        <color rgb="00F76E6C"/>
      </dataBar>
    </cfRule>
  </conditionalFormatting>
  <conditionalFormatting sqref="I5:I13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6.39999999999999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method_tables/衡枢鉴真分老客版/quantile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243</v>
      </c>
      <c r="G4" s="9" t="n">
        <v>223</v>
      </c>
      <c r="H4" s="9" t="n">
        <v>20</v>
      </c>
      <c r="I4" s="10" t="n">
        <v>0.2505</v>
      </c>
      <c r="J4" s="10" t="n">
        <v>0.2674</v>
      </c>
      <c r="K4" s="10" t="n">
        <v>0.1471</v>
      </c>
      <c r="L4" s="10" t="n">
        <v>0.0823</v>
      </c>
      <c r="M4" s="9" t="n">
        <v>-0.5979</v>
      </c>
      <c r="N4" s="9" t="n">
        <v>0.07190000000000001</v>
      </c>
      <c r="O4" s="9" t="n">
        <v>0.1665</v>
      </c>
      <c r="P4" s="9" t="n">
        <v>0.587</v>
      </c>
      <c r="Q4" s="10" t="n">
        <v>-0.138</v>
      </c>
      <c r="R4" s="9" t="n">
        <v>-0.551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0.0838)</t>
        </is>
      </c>
      <c r="F5" s="11" t="n">
        <v>242</v>
      </c>
      <c r="G5" s="11" t="n">
        <v>208</v>
      </c>
      <c r="H5" s="11" t="n">
        <v>34</v>
      </c>
      <c r="I5" s="12" t="n">
        <v>0.2495</v>
      </c>
      <c r="J5" s="12" t="n">
        <v>0.2494</v>
      </c>
      <c r="K5" s="12" t="n">
        <v>0.25</v>
      </c>
      <c r="L5" s="12" t="n">
        <v>0.1405</v>
      </c>
      <c r="M5" s="11" t="n">
        <v>0.0024</v>
      </c>
      <c r="N5" s="11" t="n">
        <v>0</v>
      </c>
      <c r="O5" s="11" t="n">
        <v>0.1665</v>
      </c>
      <c r="P5" s="11" t="n">
        <v>1.0021</v>
      </c>
      <c r="Q5" s="12" t="n">
        <v>0.0007</v>
      </c>
      <c r="R5" s="11" t="n">
        <v>0.0028</v>
      </c>
      <c r="S5" s="11" t="n">
        <v>1.138</v>
      </c>
      <c r="T5" s="12" t="n">
        <v>0.413</v>
      </c>
      <c r="U5" s="11" t="n">
        <v>0.551</v>
      </c>
      <c r="V5" s="11" t="n">
        <v>611</v>
      </c>
      <c r="W5" s="11" t="n">
        <v>116</v>
      </c>
      <c r="X5" s="12" t="n">
        <v>0.1203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[0.0838, 0.1239)</t>
        </is>
      </c>
      <c r="F6" s="9" t="n">
        <v>242</v>
      </c>
      <c r="G6" s="9" t="n">
        <v>213</v>
      </c>
      <c r="H6" s="9" t="n">
        <v>29</v>
      </c>
      <c r="I6" s="10" t="n">
        <v>0.2495</v>
      </c>
      <c r="J6" s="10" t="n">
        <v>0.2554</v>
      </c>
      <c r="K6" s="10" t="n">
        <v>0.2132</v>
      </c>
      <c r="L6" s="10" t="n">
        <v>0.1198</v>
      </c>
      <c r="M6" s="9" t="n">
        <v>-0.1804</v>
      </c>
      <c r="N6" s="9" t="n">
        <v>0.0076</v>
      </c>
      <c r="O6" s="9" t="n">
        <v>0.1665</v>
      </c>
      <c r="P6" s="9" t="n">
        <v>0.8547</v>
      </c>
      <c r="Q6" s="10" t="n">
        <v>-0.0483</v>
      </c>
      <c r="R6" s="9" t="n">
        <v>-0.1936</v>
      </c>
      <c r="S6" s="9" t="n">
        <v>1.2059</v>
      </c>
      <c r="T6" s="10" t="n">
        <v>0.2059</v>
      </c>
      <c r="U6" s="9" t="n">
        <v>0.4118</v>
      </c>
      <c r="V6" s="9" t="n">
        <v>403</v>
      </c>
      <c r="W6" s="9" t="n">
        <v>82</v>
      </c>
      <c r="X6" s="10" t="n">
        <v>0.1197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[0.1239, +inf)</t>
        </is>
      </c>
      <c r="F7" s="11" t="n">
        <v>243</v>
      </c>
      <c r="G7" s="11" t="n">
        <v>190</v>
      </c>
      <c r="H7" s="11" t="n">
        <v>53</v>
      </c>
      <c r="I7" s="12" t="n">
        <v>0.2505</v>
      </c>
      <c r="J7" s="12" t="n">
        <v>0.2278</v>
      </c>
      <c r="K7" s="12" t="n">
        <v>0.3897</v>
      </c>
      <c r="L7" s="12" t="n">
        <v>0.2181</v>
      </c>
      <c r="M7" s="11" t="n">
        <v>0.5368000000000001</v>
      </c>
      <c r="N7" s="11" t="n">
        <v>0.08690000000000001</v>
      </c>
      <c r="O7" s="11" t="n">
        <v>0.1665</v>
      </c>
      <c r="P7" s="11" t="n">
        <v>1.5556</v>
      </c>
      <c r="Q7" s="12" t="n">
        <v>0.1857</v>
      </c>
      <c r="R7" s="11" t="n">
        <v>0.7413</v>
      </c>
      <c r="S7" s="11" t="n">
        <v>1.5556</v>
      </c>
      <c r="T7" s="12" t="n">
        <v>0.1857</v>
      </c>
      <c r="U7" s="11" t="n">
        <v>0.7413</v>
      </c>
      <c r="V7" s="11" t="n">
        <v>190</v>
      </c>
      <c r="W7" s="11" t="n">
        <v>53</v>
      </c>
      <c r="X7" s="12" t="n">
        <v>0.1619</v>
      </c>
    </row>
    <row r="8">
      <c r="B8" s="13" t="n">
        <v>4</v>
      </c>
      <c r="C8" s="13" t="inlineStr">
        <is>
          <t>衡枢鉴真分老客版</t>
        </is>
      </c>
      <c r="D8" s="13" t="inlineStr">
        <is>
          <t>衡枢鉴真分老客版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0.1665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0.1619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1.6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method_tables/衡枢鉴真分老客版/cart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0.0541)</t>
        </is>
      </c>
      <c r="F4" s="9" t="n">
        <v>243</v>
      </c>
      <c r="G4" s="9" t="n">
        <v>223</v>
      </c>
      <c r="H4" s="9" t="n">
        <v>20</v>
      </c>
      <c r="I4" s="10" t="n">
        <v>0.2505</v>
      </c>
      <c r="J4" s="10" t="n">
        <v>0.2674</v>
      </c>
      <c r="K4" s="10" t="n">
        <v>0.1471</v>
      </c>
      <c r="L4" s="10" t="n">
        <v>0.0823</v>
      </c>
      <c r="M4" s="9" t="n">
        <v>-0.5979</v>
      </c>
      <c r="N4" s="9" t="n">
        <v>0.07190000000000001</v>
      </c>
      <c r="O4" s="9" t="n">
        <v>0.2063</v>
      </c>
      <c r="P4" s="9" t="n">
        <v>0.587</v>
      </c>
      <c r="Q4" s="10" t="n">
        <v>-0.138</v>
      </c>
      <c r="R4" s="9" t="n">
        <v>-0.551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[0.0541, 0.1929)</t>
        </is>
      </c>
      <c r="F5" s="11" t="n">
        <v>678</v>
      </c>
      <c r="G5" s="11" t="n">
        <v>580</v>
      </c>
      <c r="H5" s="11" t="n">
        <v>98</v>
      </c>
      <c r="I5" s="12" t="n">
        <v>0.699</v>
      </c>
      <c r="J5" s="12" t="n">
        <v>0.6954</v>
      </c>
      <c r="K5" s="12" t="n">
        <v>0.7206</v>
      </c>
      <c r="L5" s="12" t="n">
        <v>0.1445</v>
      </c>
      <c r="M5" s="11" t="n">
        <v>0.0355</v>
      </c>
      <c r="N5" s="11" t="n">
        <v>0.0009</v>
      </c>
      <c r="O5" s="11" t="n">
        <v>0.2063</v>
      </c>
      <c r="P5" s="11" t="n">
        <v>1.0309</v>
      </c>
      <c r="Q5" s="12" t="n">
        <v>0.0718</v>
      </c>
      <c r="R5" s="11" t="n">
        <v>0.1027</v>
      </c>
      <c r="S5" s="11" t="n">
        <v>1.138</v>
      </c>
      <c r="T5" s="12" t="n">
        <v>0.413</v>
      </c>
      <c r="U5" s="11" t="n">
        <v>0.551</v>
      </c>
      <c r="V5" s="11" t="n">
        <v>611</v>
      </c>
      <c r="W5" s="11" t="n">
        <v>116</v>
      </c>
      <c r="X5" s="12" t="n">
        <v>0.1203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[0.1929, 0.2183)</t>
        </is>
      </c>
      <c r="F6" s="9" t="n">
        <v>25</v>
      </c>
      <c r="G6" s="9" t="n">
        <v>18</v>
      </c>
      <c r="H6" s="9" t="n">
        <v>7</v>
      </c>
      <c r="I6" s="10" t="n">
        <v>0.0258</v>
      </c>
      <c r="J6" s="10" t="n">
        <v>0.0216</v>
      </c>
      <c r="K6" s="10" t="n">
        <v>0.0515</v>
      </c>
      <c r="L6" s="10" t="n">
        <v>0.28</v>
      </c>
      <c r="M6" s="9" t="n">
        <v>0.8691</v>
      </c>
      <c r="N6" s="9" t="n">
        <v>0.026</v>
      </c>
      <c r="O6" s="9" t="n">
        <v>0.2063</v>
      </c>
      <c r="P6" s="9" t="n">
        <v>1.9971</v>
      </c>
      <c r="Q6" s="10" t="n">
        <v>0.0264</v>
      </c>
      <c r="R6" s="9" t="n">
        <v>1.0234</v>
      </c>
      <c r="S6" s="9" t="n">
        <v>2.62</v>
      </c>
      <c r="T6" s="10" t="n">
        <v>0.0862</v>
      </c>
      <c r="U6" s="9" t="n">
        <v>1.7062</v>
      </c>
      <c r="V6" s="9" t="n">
        <v>31</v>
      </c>
      <c r="W6" s="9" t="n">
        <v>18</v>
      </c>
      <c r="X6" s="10" t="n">
        <v>0.09520000000000001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[0.2183, +inf)</t>
        </is>
      </c>
      <c r="F7" s="11" t="n">
        <v>24</v>
      </c>
      <c r="G7" s="11" t="n">
        <v>13</v>
      </c>
      <c r="H7" s="11" t="n">
        <v>11</v>
      </c>
      <c r="I7" s="12" t="n">
        <v>0.0247</v>
      </c>
      <c r="J7" s="12" t="n">
        <v>0.0156</v>
      </c>
      <c r="K7" s="12" t="n">
        <v>0.0809</v>
      </c>
      <c r="L7" s="12" t="n">
        <v>0.4583</v>
      </c>
      <c r="M7" s="11" t="n">
        <v>1.6465</v>
      </c>
      <c r="N7" s="11" t="n">
        <v>0.1075</v>
      </c>
      <c r="O7" s="11" t="n">
        <v>0.2063</v>
      </c>
      <c r="P7" s="11" t="n">
        <v>3.269</v>
      </c>
      <c r="Q7" s="12" t="n">
        <v>0.0576</v>
      </c>
      <c r="R7" s="11" t="n">
        <v>2.3266</v>
      </c>
      <c r="S7" s="11" t="n">
        <v>3.269</v>
      </c>
      <c r="T7" s="12" t="n">
        <v>0.0576</v>
      </c>
      <c r="U7" s="11" t="n">
        <v>2.3266</v>
      </c>
      <c r="V7" s="11" t="n">
        <v>13</v>
      </c>
      <c r="W7" s="11" t="n">
        <v>11</v>
      </c>
      <c r="X7" s="12" t="n">
        <v>0.0653</v>
      </c>
    </row>
    <row r="8">
      <c r="B8" s="13" t="n">
        <v>4</v>
      </c>
      <c r="C8" s="13" t="inlineStr">
        <is>
          <t>衡枢鉴真分老客版</t>
        </is>
      </c>
      <c r="D8" s="13" t="inlineStr">
        <is>
          <t>衡枢鉴真分老客版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0.2063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0.1203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5.2" customWidth="1" style="1" min="2" max="2"/>
    <col width="18.8" customWidth="1" style="1" min="3" max="16384"/>
    <col width="18.8" customWidth="1" style="1" min="4" max="4"/>
    <col width="21.2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method_tables/衡枢鉴真分老客版/best_iv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衡枢鉴真分老客版</t>
        </is>
      </c>
      <c r="D4" s="9" t="inlineStr">
        <is>
          <t>衡枢鉴真分老客版</t>
        </is>
      </c>
      <c r="E4" s="9" t="inlineStr">
        <is>
          <t>[-inf, 0.0694)</t>
        </is>
      </c>
      <c r="F4" s="9" t="n">
        <v>358</v>
      </c>
      <c r="G4" s="9" t="n">
        <v>327</v>
      </c>
      <c r="H4" s="9" t="n">
        <v>31</v>
      </c>
      <c r="I4" s="10" t="n">
        <v>0.3691</v>
      </c>
      <c r="J4" s="10" t="n">
        <v>0.3921</v>
      </c>
      <c r="K4" s="10" t="n">
        <v>0.2279</v>
      </c>
      <c r="L4" s="10" t="n">
        <v>0.0866</v>
      </c>
      <c r="M4" s="9" t="n">
        <v>-0.5424</v>
      </c>
      <c r="N4" s="9" t="n">
        <v>0.089</v>
      </c>
      <c r="O4" s="9" t="n">
        <v>0.2704</v>
      </c>
      <c r="P4" s="9" t="n">
        <v>0.6176</v>
      </c>
      <c r="Q4" s="10" t="n">
        <v>-0.2237</v>
      </c>
      <c r="R4" s="9" t="n">
        <v>-0.6061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衡枢鉴真分老客版</t>
        </is>
      </c>
      <c r="D5" s="11" t="inlineStr">
        <is>
          <t>衡枢鉴真分老客版</t>
        </is>
      </c>
      <c r="E5" s="11" t="inlineStr">
        <is>
          <t>[0.0694, 0.1566)</t>
        </is>
      </c>
      <c r="F5" s="11" t="n">
        <v>486</v>
      </c>
      <c r="G5" s="11" t="n">
        <v>419</v>
      </c>
      <c r="H5" s="11" t="n">
        <v>67</v>
      </c>
      <c r="I5" s="12" t="n">
        <v>0.501</v>
      </c>
      <c r="J5" s="12" t="n">
        <v>0.5024</v>
      </c>
      <c r="K5" s="12" t="n">
        <v>0.4926</v>
      </c>
      <c r="L5" s="12" t="n">
        <v>0.1379</v>
      </c>
      <c r="M5" s="11" t="n">
        <v>-0.0196</v>
      </c>
      <c r="N5" s="11" t="n">
        <v>0.0002</v>
      </c>
      <c r="O5" s="11" t="n">
        <v>0.2704</v>
      </c>
      <c r="P5" s="11" t="n">
        <v>0.9833</v>
      </c>
      <c r="Q5" s="12" t="n">
        <v>-0.0168</v>
      </c>
      <c r="R5" s="11" t="n">
        <v>-0.0335</v>
      </c>
      <c r="S5" s="11" t="n">
        <v>1.2237</v>
      </c>
      <c r="T5" s="12" t="n">
        <v>0.3824</v>
      </c>
      <c r="U5" s="11" t="n">
        <v>0.6061</v>
      </c>
      <c r="V5" s="11" t="n">
        <v>507</v>
      </c>
      <c r="W5" s="11" t="n">
        <v>105</v>
      </c>
      <c r="X5" s="12" t="n">
        <v>0.1641</v>
      </c>
    </row>
    <row r="6">
      <c r="B6" s="9" t="n">
        <v>2</v>
      </c>
      <c r="C6" s="9" t="inlineStr">
        <is>
          <t>衡枢鉴真分老客版</t>
        </is>
      </c>
      <c r="D6" s="9" t="inlineStr">
        <is>
          <t>衡枢鉴真分老客版</t>
        </is>
      </c>
      <c r="E6" s="9" t="inlineStr">
        <is>
          <t>[0.1566, 0.1931)</t>
        </is>
      </c>
      <c r="F6" s="9" t="n">
        <v>77</v>
      </c>
      <c r="G6" s="9" t="n">
        <v>57</v>
      </c>
      <c r="H6" s="9" t="n">
        <v>20</v>
      </c>
      <c r="I6" s="10" t="n">
        <v>0.0794</v>
      </c>
      <c r="J6" s="10" t="n">
        <v>0.0683</v>
      </c>
      <c r="K6" s="10" t="n">
        <v>0.1471</v>
      </c>
      <c r="L6" s="10" t="n">
        <v>0.2597</v>
      </c>
      <c r="M6" s="9" t="n">
        <v>0.7663</v>
      </c>
      <c r="N6" s="9" t="n">
        <v>0.0603</v>
      </c>
      <c r="O6" s="9" t="n">
        <v>0.2704</v>
      </c>
      <c r="P6" s="9" t="n">
        <v>1.8526</v>
      </c>
      <c r="Q6" s="10" t="n">
        <v>0.0735</v>
      </c>
      <c r="R6" s="9" t="n">
        <v>0.9261</v>
      </c>
      <c r="S6" s="9" t="n">
        <v>2.151</v>
      </c>
      <c r="T6" s="10" t="n">
        <v>0.1718</v>
      </c>
      <c r="U6" s="9" t="n">
        <v>1.3229</v>
      </c>
      <c r="V6" s="9" t="n">
        <v>88</v>
      </c>
      <c r="W6" s="9" t="n">
        <v>38</v>
      </c>
      <c r="X6" s="10" t="n">
        <v>0.1739</v>
      </c>
    </row>
    <row r="7">
      <c r="B7" s="11" t="n">
        <v>3</v>
      </c>
      <c r="C7" s="11" t="inlineStr">
        <is>
          <t>衡枢鉴真分老客版</t>
        </is>
      </c>
      <c r="D7" s="11" t="inlineStr">
        <is>
          <t>衡枢鉴真分老客版</t>
        </is>
      </c>
      <c r="E7" s="11" t="inlineStr">
        <is>
          <t>[0.1931, +inf)</t>
        </is>
      </c>
      <c r="F7" s="11" t="n">
        <v>49</v>
      </c>
      <c r="G7" s="11" t="n">
        <v>31</v>
      </c>
      <c r="H7" s="11" t="n">
        <v>18</v>
      </c>
      <c r="I7" s="12" t="n">
        <v>0.0505</v>
      </c>
      <c r="J7" s="12" t="n">
        <v>0.0372</v>
      </c>
      <c r="K7" s="12" t="n">
        <v>0.1324</v>
      </c>
      <c r="L7" s="12" t="n">
        <v>0.3673</v>
      </c>
      <c r="M7" s="11" t="n">
        <v>1.27</v>
      </c>
      <c r="N7" s="11" t="n">
        <v>0.1209</v>
      </c>
      <c r="O7" s="11" t="n">
        <v>0.2704</v>
      </c>
      <c r="P7" s="11" t="n">
        <v>2.62</v>
      </c>
      <c r="Q7" s="12" t="n">
        <v>0.0862</v>
      </c>
      <c r="R7" s="11" t="n">
        <v>1.7062</v>
      </c>
      <c r="S7" s="11" t="n">
        <v>2.62</v>
      </c>
      <c r="T7" s="12" t="n">
        <v>0.0862</v>
      </c>
      <c r="U7" s="11" t="n">
        <v>1.7062</v>
      </c>
      <c r="V7" s="11" t="n">
        <v>31</v>
      </c>
      <c r="W7" s="11" t="n">
        <v>18</v>
      </c>
      <c r="X7" s="12" t="n">
        <v>0.09520000000000001</v>
      </c>
    </row>
    <row r="8">
      <c r="B8" s="13" t="n">
        <v>4</v>
      </c>
      <c r="C8" s="13" t="inlineStr">
        <is>
          <t>衡枢鉴真分老客版</t>
        </is>
      </c>
      <c r="D8" s="13" t="inlineStr">
        <is>
          <t>衡枢鉴真分老客版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0.2704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0.1739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method_tables/近六个月非银多头机构数/quantile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52)</t>
        </is>
      </c>
      <c r="F4" s="9" t="n">
        <v>226</v>
      </c>
      <c r="G4" s="9" t="n">
        <v>196</v>
      </c>
      <c r="H4" s="9" t="n">
        <v>30</v>
      </c>
      <c r="I4" s="10" t="n">
        <v>0.233</v>
      </c>
      <c r="J4" s="10" t="n">
        <v>0.235</v>
      </c>
      <c r="K4" s="10" t="n">
        <v>0.2206</v>
      </c>
      <c r="L4" s="10" t="n">
        <v>0.1327</v>
      </c>
      <c r="M4" s="9" t="n">
        <v>-0.0633</v>
      </c>
      <c r="N4" s="9" t="n">
        <v>0.0009</v>
      </c>
      <c r="O4" s="9" t="n">
        <v>0.0349</v>
      </c>
      <c r="P4" s="9" t="n">
        <v>0.9468</v>
      </c>
      <c r="Q4" s="10" t="n">
        <v>-0.0162</v>
      </c>
      <c r="R4" s="9" t="n">
        <v>-0.0694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[52, 61)</t>
        </is>
      </c>
      <c r="F5" s="11" t="n">
        <v>241</v>
      </c>
      <c r="G5" s="11" t="n">
        <v>209</v>
      </c>
      <c r="H5" s="11" t="n">
        <v>32</v>
      </c>
      <c r="I5" s="12" t="n">
        <v>0.2485</v>
      </c>
      <c r="J5" s="12" t="n">
        <v>0.2506</v>
      </c>
      <c r="K5" s="12" t="n">
        <v>0.2353</v>
      </c>
      <c r="L5" s="12" t="n">
        <v>0.1328</v>
      </c>
      <c r="M5" s="11" t="n">
        <v>-0.063</v>
      </c>
      <c r="N5" s="11" t="n">
        <v>0.001</v>
      </c>
      <c r="O5" s="11" t="n">
        <v>0.0349</v>
      </c>
      <c r="P5" s="11" t="n">
        <v>0.947</v>
      </c>
      <c r="Q5" s="12" t="n">
        <v>-0.0175</v>
      </c>
      <c r="R5" s="11" t="n">
        <v>-0.07049999999999999</v>
      </c>
      <c r="S5" s="11" t="n">
        <v>1.0162</v>
      </c>
      <c r="T5" s="12" t="n">
        <v>0.0532</v>
      </c>
      <c r="U5" s="11" t="n">
        <v>0.0694</v>
      </c>
      <c r="V5" s="11" t="n">
        <v>638</v>
      </c>
      <c r="W5" s="11" t="n">
        <v>106</v>
      </c>
      <c r="X5" s="12" t="n">
        <v>0.0144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[61, 69)</t>
        </is>
      </c>
      <c r="F6" s="9" t="n">
        <v>242</v>
      </c>
      <c r="G6" s="9" t="n">
        <v>214</v>
      </c>
      <c r="H6" s="9" t="n">
        <v>28</v>
      </c>
      <c r="I6" s="10" t="n">
        <v>0.2495</v>
      </c>
      <c r="J6" s="10" t="n">
        <v>0.2566</v>
      </c>
      <c r="K6" s="10" t="n">
        <v>0.2059</v>
      </c>
      <c r="L6" s="10" t="n">
        <v>0.1157</v>
      </c>
      <c r="M6" s="9" t="n">
        <v>-0.2202</v>
      </c>
      <c r="N6" s="9" t="n">
        <v>0.0112</v>
      </c>
      <c r="O6" s="9" t="n">
        <v>0.0349</v>
      </c>
      <c r="P6" s="9" t="n">
        <v>0.8252</v>
      </c>
      <c r="Q6" s="10" t="n">
        <v>-0.0581</v>
      </c>
      <c r="R6" s="9" t="n">
        <v>-0.2329</v>
      </c>
      <c r="S6" s="9" t="n">
        <v>1.0493</v>
      </c>
      <c r="T6" s="10" t="n">
        <v>0.0531</v>
      </c>
      <c r="U6" s="9" t="n">
        <v>0.1024</v>
      </c>
      <c r="V6" s="9" t="n">
        <v>429</v>
      </c>
      <c r="W6" s="9" t="n">
        <v>74</v>
      </c>
      <c r="X6" s="10" t="n">
        <v>0.0297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[69, +inf)</t>
        </is>
      </c>
      <c r="F7" s="11" t="n">
        <v>261</v>
      </c>
      <c r="G7" s="11" t="n">
        <v>215</v>
      </c>
      <c r="H7" s="11" t="n">
        <v>46</v>
      </c>
      <c r="I7" s="12" t="n">
        <v>0.2691</v>
      </c>
      <c r="J7" s="12" t="n">
        <v>0.2578</v>
      </c>
      <c r="K7" s="12" t="n">
        <v>0.3382</v>
      </c>
      <c r="L7" s="12" t="n">
        <v>0.1762</v>
      </c>
      <c r="M7" s="11" t="n">
        <v>0.2716</v>
      </c>
      <c r="N7" s="11" t="n">
        <v>0.0218</v>
      </c>
      <c r="O7" s="11" t="n">
        <v>0.0349</v>
      </c>
      <c r="P7" s="11" t="n">
        <v>1.257</v>
      </c>
      <c r="Q7" s="12" t="n">
        <v>0.0946</v>
      </c>
      <c r="R7" s="11" t="n">
        <v>0.3517</v>
      </c>
      <c r="S7" s="11" t="n">
        <v>1.257</v>
      </c>
      <c r="T7" s="12" t="n">
        <v>0.0946</v>
      </c>
      <c r="U7" s="11" t="n">
        <v>0.3517</v>
      </c>
      <c r="V7" s="11" t="n">
        <v>215</v>
      </c>
      <c r="W7" s="11" t="n">
        <v>46</v>
      </c>
      <c r="X7" s="12" t="n">
        <v>0.0804</v>
      </c>
    </row>
    <row r="8">
      <c r="B8" s="13" t="n">
        <v>4</v>
      </c>
      <c r="C8" s="13" t="inlineStr">
        <is>
          <t>近六个月非银多头机构数</t>
        </is>
      </c>
      <c r="D8" s="13" t="inlineStr">
        <is>
          <t>近六个月非银多头机构数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0.0349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0.0804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47.9" customWidth="1" style="1" min="2" max="2"/>
    <col width="25.1" customWidth="1" style="1" min="3" max="16384"/>
    <col width="25.1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method_tables/近六个月非银多头机构数/cart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71.0)</t>
        </is>
      </c>
      <c r="F4" s="9" t="n">
        <v>764</v>
      </c>
      <c r="G4" s="9" t="n">
        <v>669</v>
      </c>
      <c r="H4" s="9" t="n">
        <v>95</v>
      </c>
      <c r="I4" s="10" t="n">
        <v>0.7876</v>
      </c>
      <c r="J4" s="10" t="n">
        <v>0.8022</v>
      </c>
      <c r="K4" s="10" t="n">
        <v>0.6985</v>
      </c>
      <c r="L4" s="10" t="n">
        <v>0.1243</v>
      </c>
      <c r="M4" s="9" t="n">
        <v>-0.1383</v>
      </c>
      <c r="N4" s="9" t="n">
        <v>0.0143</v>
      </c>
      <c r="O4" s="9" t="n">
        <v>0.07480000000000001</v>
      </c>
      <c r="P4" s="9" t="n">
        <v>0.8869</v>
      </c>
      <c r="Q4" s="10" t="n">
        <v>-0.4195</v>
      </c>
      <c r="R4" s="9" t="n">
        <v>-0.5327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[71.0, 81.5)</t>
        </is>
      </c>
      <c r="F5" s="11" t="n">
        <v>166</v>
      </c>
      <c r="G5" s="11" t="n">
        <v>135</v>
      </c>
      <c r="H5" s="11" t="n">
        <v>31</v>
      </c>
      <c r="I5" s="12" t="n">
        <v>0.1711</v>
      </c>
      <c r="J5" s="12" t="n">
        <v>0.1619</v>
      </c>
      <c r="K5" s="12" t="n">
        <v>0.2279</v>
      </c>
      <c r="L5" s="12" t="n">
        <v>0.1867</v>
      </c>
      <c r="M5" s="11" t="n">
        <v>0.3423</v>
      </c>
      <c r="N5" s="11" t="n">
        <v>0.0226</v>
      </c>
      <c r="O5" s="11" t="n">
        <v>0.07480000000000001</v>
      </c>
      <c r="P5" s="11" t="n">
        <v>1.3319</v>
      </c>
      <c r="Q5" s="12" t="n">
        <v>0.06850000000000001</v>
      </c>
      <c r="R5" s="11" t="n">
        <v>0.4005</v>
      </c>
      <c r="S5" s="11" t="n">
        <v>1.4195</v>
      </c>
      <c r="T5" s="12" t="n">
        <v>0.1131</v>
      </c>
      <c r="U5" s="11" t="n">
        <v>0.5327</v>
      </c>
      <c r="V5" s="11" t="n">
        <v>165</v>
      </c>
      <c r="W5" s="11" t="n">
        <v>41</v>
      </c>
      <c r="X5" s="12" t="n">
        <v>0.1036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[81.5, 86.5)</t>
        </is>
      </c>
      <c r="F6" s="9" t="n">
        <v>30</v>
      </c>
      <c r="G6" s="9" t="n">
        <v>24</v>
      </c>
      <c r="H6" s="9" t="n">
        <v>6</v>
      </c>
      <c r="I6" s="10" t="n">
        <v>0.0309</v>
      </c>
      <c r="J6" s="10" t="n">
        <v>0.0288</v>
      </c>
      <c r="K6" s="10" t="n">
        <v>0.0441</v>
      </c>
      <c r="L6" s="10" t="n">
        <v>0.2</v>
      </c>
      <c r="M6" s="9" t="n">
        <v>0.4273</v>
      </c>
      <c r="N6" s="9" t="n">
        <v>0.0066</v>
      </c>
      <c r="O6" s="9" t="n">
        <v>0.07480000000000001</v>
      </c>
      <c r="P6" s="9" t="n">
        <v>1.4265</v>
      </c>
      <c r="Q6" s="10" t="n">
        <v>0.0136</v>
      </c>
      <c r="R6" s="9" t="n">
        <v>0.4401</v>
      </c>
      <c r="S6" s="9" t="n">
        <v>1.7831</v>
      </c>
      <c r="T6" s="10" t="n">
        <v>0.0337</v>
      </c>
      <c r="U6" s="9" t="n">
        <v>0.8168</v>
      </c>
      <c r="V6" s="9" t="n">
        <v>30</v>
      </c>
      <c r="W6" s="9" t="n">
        <v>10</v>
      </c>
      <c r="X6" s="10" t="n">
        <v>0.0376</v>
      </c>
    </row>
    <row r="7">
      <c r="B7" s="11" t="n">
        <v>3</v>
      </c>
      <c r="C7" s="11" t="inlineStr">
        <is>
          <t>近六个月非银多头机构数</t>
        </is>
      </c>
      <c r="D7" s="11" t="inlineStr">
        <is>
          <t>近六个月非银多头机构数</t>
        </is>
      </c>
      <c r="E7" s="11" t="inlineStr">
        <is>
          <t>[86.5, +inf)</t>
        </is>
      </c>
      <c r="F7" s="11" t="n">
        <v>10</v>
      </c>
      <c r="G7" s="11" t="n">
        <v>6</v>
      </c>
      <c r="H7" s="11" t="n">
        <v>4</v>
      </c>
      <c r="I7" s="12" t="n">
        <v>0.0103</v>
      </c>
      <c r="J7" s="12" t="n">
        <v>0.0072</v>
      </c>
      <c r="K7" s="12" t="n">
        <v>0.0294</v>
      </c>
      <c r="L7" s="12" t="n">
        <v>0.4</v>
      </c>
      <c r="M7" s="11" t="n">
        <v>1.4081</v>
      </c>
      <c r="N7" s="11" t="n">
        <v>0.0313</v>
      </c>
      <c r="O7" s="11" t="n">
        <v>0.07480000000000001</v>
      </c>
      <c r="P7" s="11" t="n">
        <v>2.8529</v>
      </c>
      <c r="Q7" s="12" t="n">
        <v>0.0193</v>
      </c>
      <c r="R7" s="11" t="n">
        <v>1.8722</v>
      </c>
      <c r="S7" s="11" t="n">
        <v>2.8529</v>
      </c>
      <c r="T7" s="12" t="n">
        <v>0.0193</v>
      </c>
      <c r="U7" s="11" t="n">
        <v>1.8722</v>
      </c>
      <c r="V7" s="11" t="n">
        <v>6</v>
      </c>
      <c r="W7" s="11" t="n">
        <v>4</v>
      </c>
      <c r="X7" s="12" t="n">
        <v>0.0222</v>
      </c>
    </row>
    <row r="8">
      <c r="B8" s="13" t="n">
        <v>4</v>
      </c>
      <c r="C8" s="13" t="inlineStr">
        <is>
          <t>近六个月非银多头机构数</t>
        </is>
      </c>
      <c r="D8" s="13" t="inlineStr">
        <is>
          <t>近六个月非银多头机构数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0.07480000000000001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0.1036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X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25.1" customWidth="1" style="1" min="3" max="16384"/>
    <col width="25.1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method_tables/近六个月非银多头机构数/best_iv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近六个月非银多头机构数</t>
        </is>
      </c>
      <c r="D4" s="9" t="inlineStr">
        <is>
          <t>近六个月非银多头机构数</t>
        </is>
      </c>
      <c r="E4" s="9" t="inlineStr">
        <is>
          <t>[-inf, 71.5)</t>
        </is>
      </c>
      <c r="F4" s="9" t="n">
        <v>783</v>
      </c>
      <c r="G4" s="9" t="n">
        <v>686</v>
      </c>
      <c r="H4" s="9" t="n">
        <v>97</v>
      </c>
      <c r="I4" s="10" t="n">
        <v>0.8072</v>
      </c>
      <c r="J4" s="10" t="n">
        <v>0.8225</v>
      </c>
      <c r="K4" s="10" t="n">
        <v>0.7131999999999999</v>
      </c>
      <c r="L4" s="10" t="n">
        <v>0.1239</v>
      </c>
      <c r="M4" s="9" t="n">
        <v>-0.1426</v>
      </c>
      <c r="N4" s="9" t="n">
        <v>0.0156</v>
      </c>
      <c r="O4" s="9" t="n">
        <v>0.0692</v>
      </c>
      <c r="P4" s="9" t="n">
        <v>0.8836000000000001</v>
      </c>
      <c r="Q4" s="10" t="n">
        <v>-0.4875</v>
      </c>
      <c r="R4" s="9" t="n">
        <v>-0.6039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近六个月非银多头机构数</t>
        </is>
      </c>
      <c r="D5" s="11" t="inlineStr">
        <is>
          <t>近六个月非银多头机构数</t>
        </is>
      </c>
      <c r="E5" s="11" t="inlineStr">
        <is>
          <t>[71.5, 76.0)</t>
        </is>
      </c>
      <c r="F5" s="11" t="n">
        <v>77</v>
      </c>
      <c r="G5" s="11" t="n">
        <v>62</v>
      </c>
      <c r="H5" s="11" t="n">
        <v>15</v>
      </c>
      <c r="I5" s="12" t="n">
        <v>0.0794</v>
      </c>
      <c r="J5" s="12" t="n">
        <v>0.0743</v>
      </c>
      <c r="K5" s="12" t="n">
        <v>0.1103</v>
      </c>
      <c r="L5" s="12" t="n">
        <v>0.1948</v>
      </c>
      <c r="M5" s="11" t="n">
        <v>0.3945</v>
      </c>
      <c r="N5" s="11" t="n">
        <v>0.0142</v>
      </c>
      <c r="O5" s="11" t="n">
        <v>0.0692</v>
      </c>
      <c r="P5" s="11" t="n">
        <v>1.3894</v>
      </c>
      <c r="Q5" s="12" t="n">
        <v>0.0336</v>
      </c>
      <c r="R5" s="11" t="n">
        <v>0.423</v>
      </c>
      <c r="S5" s="11" t="n">
        <v>1.4875</v>
      </c>
      <c r="T5" s="12" t="n">
        <v>0.1164</v>
      </c>
      <c r="U5" s="11" t="n">
        <v>0.6039</v>
      </c>
      <c r="V5" s="11" t="n">
        <v>148</v>
      </c>
      <c r="W5" s="11" t="n">
        <v>39</v>
      </c>
      <c r="X5" s="12" t="n">
        <v>0.1093</v>
      </c>
    </row>
    <row r="6">
      <c r="B6" s="9" t="n">
        <v>2</v>
      </c>
      <c r="C6" s="9" t="inlineStr">
        <is>
          <t>近六个月非银多头机构数</t>
        </is>
      </c>
      <c r="D6" s="9" t="inlineStr">
        <is>
          <t>近六个月非银多头机构数</t>
        </is>
      </c>
      <c r="E6" s="9" t="inlineStr">
        <is>
          <t>[76.0, +inf)</t>
        </is>
      </c>
      <c r="F6" s="9" t="n">
        <v>110</v>
      </c>
      <c r="G6" s="9" t="n">
        <v>86</v>
      </c>
      <c r="H6" s="9" t="n">
        <v>24</v>
      </c>
      <c r="I6" s="10" t="n">
        <v>0.1134</v>
      </c>
      <c r="J6" s="10" t="n">
        <v>0.1031</v>
      </c>
      <c r="K6" s="10" t="n">
        <v>0.1765</v>
      </c>
      <c r="L6" s="10" t="n">
        <v>0.2182</v>
      </c>
      <c r="M6" s="9" t="n">
        <v>0.5373</v>
      </c>
      <c r="N6" s="9" t="n">
        <v>0.0394</v>
      </c>
      <c r="O6" s="9" t="n">
        <v>0.0692</v>
      </c>
      <c r="P6" s="9" t="n">
        <v>1.5561</v>
      </c>
      <c r="Q6" s="10" t="n">
        <v>0.0711</v>
      </c>
      <c r="R6" s="9" t="n">
        <v>0.6273</v>
      </c>
      <c r="S6" s="9" t="n">
        <v>1.5561</v>
      </c>
      <c r="T6" s="10" t="n">
        <v>0.0711</v>
      </c>
      <c r="U6" s="9" t="n">
        <v>0.6273</v>
      </c>
      <c r="V6" s="9" t="n">
        <v>86</v>
      </c>
      <c r="W6" s="9" t="n">
        <v>24</v>
      </c>
      <c r="X6" s="10" t="n">
        <v>0.07340000000000001</v>
      </c>
    </row>
    <row r="7">
      <c r="B7" s="15" t="n">
        <v>3</v>
      </c>
      <c r="C7" s="15" t="inlineStr">
        <is>
          <t>近六个月非银多头机构数</t>
        </is>
      </c>
      <c r="D7" s="15" t="inlineStr">
        <is>
          <t>近六个月非银多头机构数</t>
        </is>
      </c>
      <c r="E7" s="15" t="inlineStr">
        <is>
          <t>合计</t>
        </is>
      </c>
      <c r="F7" s="15" t="n">
        <v>970</v>
      </c>
      <c r="G7" s="15" t="n">
        <v>834</v>
      </c>
      <c r="H7" s="15" t="n">
        <v>136</v>
      </c>
      <c r="I7" s="16" t="n">
        <v>1</v>
      </c>
      <c r="J7" s="16" t="n">
        <v>1</v>
      </c>
      <c r="K7" s="16" t="n">
        <v>1</v>
      </c>
      <c r="L7" s="16" t="n">
        <v>0.1402</v>
      </c>
      <c r="M7" s="15" t="n">
        <v>0</v>
      </c>
      <c r="N7" s="15" t="n">
        <v>0</v>
      </c>
      <c r="O7" s="15" t="n">
        <v>0.0692</v>
      </c>
      <c r="P7" s="15" t="n">
        <v>1</v>
      </c>
      <c r="Q7" s="16" t="n">
        <v>0</v>
      </c>
      <c r="R7" s="15" t="n">
        <v>0</v>
      </c>
      <c r="S7" s="15" t="n">
        <v>1</v>
      </c>
      <c r="T7" s="16" t="n">
        <v>1</v>
      </c>
      <c r="U7" s="15" t="n">
        <v>1</v>
      </c>
      <c r="V7" s="15" t="n">
        <v>834</v>
      </c>
      <c r="W7" s="15" t="n">
        <v>136</v>
      </c>
      <c r="X7" s="16" t="n">
        <v>0.1093</v>
      </c>
    </row>
  </sheetData>
  <mergeCells count="1">
    <mergeCell ref="B2:X2"/>
  </mergeCells>
  <conditionalFormatting sqref="L4:L7">
    <cfRule type="dataBar" priority="1">
      <dataBar>
        <cfvo type="min"/>
        <cfvo type="max"/>
        <color rgb="00F76E6C"/>
      </dataBar>
    </cfRule>
  </conditionalFormatting>
  <conditionalFormatting sqref="O4:O7">
    <cfRule type="dataBar" priority="2">
      <dataBar>
        <cfvo type="min"/>
        <cfvo type="max"/>
        <color rgb="00F76E6C"/>
      </dataBar>
    </cfRule>
  </conditionalFormatting>
  <conditionalFormatting sqref="P4:P7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method_tables/手机号近一个月非银多头机构数/quantile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16)</t>
        </is>
      </c>
      <c r="F4" s="9" t="n">
        <v>206</v>
      </c>
      <c r="G4" s="9" t="n">
        <v>183</v>
      </c>
      <c r="H4" s="9" t="n">
        <v>23</v>
      </c>
      <c r="I4" s="10" t="n">
        <v>0.2124</v>
      </c>
      <c r="J4" s="10" t="n">
        <v>0.2194</v>
      </c>
      <c r="K4" s="10" t="n">
        <v>0.1691</v>
      </c>
      <c r="L4" s="10" t="n">
        <v>0.1116</v>
      </c>
      <c r="M4" s="9" t="n">
        <v>-0.2604</v>
      </c>
      <c r="N4" s="9" t="n">
        <v>0.0131</v>
      </c>
      <c r="O4" s="9" t="n">
        <v>0.0405</v>
      </c>
      <c r="P4" s="9" t="n">
        <v>0.7963</v>
      </c>
      <c r="Q4" s="10" t="n">
        <v>-0.0549</v>
      </c>
      <c r="R4" s="9" t="n">
        <v>-0.2586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[16, 22)</t>
        </is>
      </c>
      <c r="F5" s="11" t="n">
        <v>260</v>
      </c>
      <c r="G5" s="11" t="n">
        <v>218</v>
      </c>
      <c r="H5" s="11" t="n">
        <v>42</v>
      </c>
      <c r="I5" s="12" t="n">
        <v>0.268</v>
      </c>
      <c r="J5" s="12" t="n">
        <v>0.2614</v>
      </c>
      <c r="K5" s="12" t="n">
        <v>0.3088</v>
      </c>
      <c r="L5" s="12" t="n">
        <v>0.1615</v>
      </c>
      <c r="M5" s="11" t="n">
        <v>0.1668</v>
      </c>
      <c r="N5" s="11" t="n">
        <v>0.007900000000000001</v>
      </c>
      <c r="O5" s="11" t="n">
        <v>0.0405</v>
      </c>
      <c r="P5" s="11" t="n">
        <v>1.1521</v>
      </c>
      <c r="Q5" s="12" t="n">
        <v>0.0557</v>
      </c>
      <c r="R5" s="11" t="n">
        <v>0.2079</v>
      </c>
      <c r="S5" s="11" t="n">
        <v>1.0549</v>
      </c>
      <c r="T5" s="12" t="n">
        <v>0.2037</v>
      </c>
      <c r="U5" s="11" t="n">
        <v>0.2586</v>
      </c>
      <c r="V5" s="11" t="n">
        <v>651</v>
      </c>
      <c r="W5" s="11" t="n">
        <v>113</v>
      </c>
      <c r="X5" s="12" t="n">
        <v>0.0503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[22, 28)</t>
        </is>
      </c>
      <c r="F6" s="9" t="n">
        <v>233</v>
      </c>
      <c r="G6" s="9" t="n">
        <v>206</v>
      </c>
      <c r="H6" s="9" t="n">
        <v>27</v>
      </c>
      <c r="I6" s="10" t="n">
        <v>0.2402</v>
      </c>
      <c r="J6" s="10" t="n">
        <v>0.247</v>
      </c>
      <c r="K6" s="10" t="n">
        <v>0.1985</v>
      </c>
      <c r="L6" s="10" t="n">
        <v>0.1159</v>
      </c>
      <c r="M6" s="9" t="n">
        <v>-0.2185</v>
      </c>
      <c r="N6" s="9" t="n">
        <v>0.0106</v>
      </c>
      <c r="O6" s="9" t="n">
        <v>0.0405</v>
      </c>
      <c r="P6" s="9" t="n">
        <v>0.8265</v>
      </c>
      <c r="Q6" s="10" t="n">
        <v>-0.0549</v>
      </c>
      <c r="R6" s="9" t="n">
        <v>-0.2284</v>
      </c>
      <c r="S6" s="9" t="n">
        <v>1.0048</v>
      </c>
      <c r="T6" s="10" t="n">
        <v>0.0051</v>
      </c>
      <c r="U6" s="9" t="n">
        <v>0.009900000000000001</v>
      </c>
      <c r="V6" s="9" t="n">
        <v>433</v>
      </c>
      <c r="W6" s="9" t="n">
        <v>71</v>
      </c>
      <c r="X6" s="10" t="n">
        <v>0.0029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[28, +inf)</t>
        </is>
      </c>
      <c r="F7" s="11" t="n">
        <v>271</v>
      </c>
      <c r="G7" s="11" t="n">
        <v>227</v>
      </c>
      <c r="H7" s="11" t="n">
        <v>44</v>
      </c>
      <c r="I7" s="12" t="n">
        <v>0.2794</v>
      </c>
      <c r="J7" s="12" t="n">
        <v>0.2722</v>
      </c>
      <c r="K7" s="12" t="n">
        <v>0.3235</v>
      </c>
      <c r="L7" s="12" t="n">
        <v>0.1624</v>
      </c>
      <c r="M7" s="11" t="n">
        <v>0.1728</v>
      </c>
      <c r="N7" s="11" t="n">
        <v>0.0089</v>
      </c>
      <c r="O7" s="11" t="n">
        <v>0.0405</v>
      </c>
      <c r="P7" s="11" t="n">
        <v>1.158</v>
      </c>
      <c r="Q7" s="12" t="n">
        <v>0.0613</v>
      </c>
      <c r="R7" s="11" t="n">
        <v>0.2193</v>
      </c>
      <c r="S7" s="11" t="n">
        <v>1.158</v>
      </c>
      <c r="T7" s="12" t="n">
        <v>0.0613</v>
      </c>
      <c r="U7" s="11" t="n">
        <v>0.2193</v>
      </c>
      <c r="V7" s="11" t="n">
        <v>227</v>
      </c>
      <c r="W7" s="11" t="n">
        <v>44</v>
      </c>
      <c r="X7" s="12" t="n">
        <v>0.0513</v>
      </c>
    </row>
    <row r="8">
      <c r="B8" s="13" t="n">
        <v>4</v>
      </c>
      <c r="C8" s="13" t="inlineStr">
        <is>
          <t>手机号近一个月非银多头机构数</t>
        </is>
      </c>
      <c r="D8" s="13" t="inlineStr">
        <is>
          <t>手机号近一个月非银多头机构数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0.0405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0.0513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method_tables/手机号近一个月非银多头机构数/cart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10.5)</t>
        </is>
      </c>
      <c r="F4" s="9" t="n">
        <v>78</v>
      </c>
      <c r="G4" s="9" t="n">
        <v>71</v>
      </c>
      <c r="H4" s="9" t="n">
        <v>7</v>
      </c>
      <c r="I4" s="10" t="n">
        <v>0.0804</v>
      </c>
      <c r="J4" s="10" t="n">
        <v>0.0851</v>
      </c>
      <c r="K4" s="10" t="n">
        <v>0.0515</v>
      </c>
      <c r="L4" s="10" t="n">
        <v>0.0897</v>
      </c>
      <c r="M4" s="9" t="n">
        <v>-0.5032</v>
      </c>
      <c r="N4" s="9" t="n">
        <v>0.0169</v>
      </c>
      <c r="O4" s="9" t="n">
        <v>0.063</v>
      </c>
      <c r="P4" s="9" t="n">
        <v>0.6401</v>
      </c>
      <c r="Q4" s="10" t="n">
        <v>-0.0315</v>
      </c>
      <c r="R4" s="9" t="n">
        <v>-0.3914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[10.5, 26.0)</t>
        </is>
      </c>
      <c r="F5" s="11" t="n">
        <v>545</v>
      </c>
      <c r="G5" s="11" t="n">
        <v>471</v>
      </c>
      <c r="H5" s="11" t="n">
        <v>74</v>
      </c>
      <c r="I5" s="12" t="n">
        <v>0.5619</v>
      </c>
      <c r="J5" s="12" t="n">
        <v>0.5647</v>
      </c>
      <c r="K5" s="12" t="n">
        <v>0.5441</v>
      </c>
      <c r="L5" s="12" t="n">
        <v>0.1358</v>
      </c>
      <c r="M5" s="11" t="n">
        <v>-0.0372</v>
      </c>
      <c r="N5" s="11" t="n">
        <v>0.0008</v>
      </c>
      <c r="O5" s="11" t="n">
        <v>0.063</v>
      </c>
      <c r="P5" s="11" t="n">
        <v>0.9684</v>
      </c>
      <c r="Q5" s="12" t="n">
        <v>-0.0405</v>
      </c>
      <c r="R5" s="11" t="n">
        <v>-0.0721</v>
      </c>
      <c r="S5" s="11" t="n">
        <v>1.0315</v>
      </c>
      <c r="T5" s="12" t="n">
        <v>0.3599</v>
      </c>
      <c r="U5" s="11" t="n">
        <v>0.3914</v>
      </c>
      <c r="V5" s="11" t="n">
        <v>763</v>
      </c>
      <c r="W5" s="11" t="n">
        <v>129</v>
      </c>
      <c r="X5" s="12" t="n">
        <v>0.0337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[26.0, 38.5)</t>
        </is>
      </c>
      <c r="F6" s="9" t="n">
        <v>314</v>
      </c>
      <c r="G6" s="9" t="n">
        <v>269</v>
      </c>
      <c r="H6" s="9" t="n">
        <v>45</v>
      </c>
      <c r="I6" s="10" t="n">
        <v>0.3237</v>
      </c>
      <c r="J6" s="10" t="n">
        <v>0.3225</v>
      </c>
      <c r="K6" s="10" t="n">
        <v>0.3309</v>
      </c>
      <c r="L6" s="10" t="n">
        <v>0.1433</v>
      </c>
      <c r="M6" s="9" t="n">
        <v>0.0255</v>
      </c>
      <c r="N6" s="9" t="n">
        <v>0.0002</v>
      </c>
      <c r="O6" s="9" t="n">
        <v>0.063</v>
      </c>
      <c r="P6" s="9" t="n">
        <v>1.0222</v>
      </c>
      <c r="Q6" s="10" t="n">
        <v>0.0106</v>
      </c>
      <c r="R6" s="9" t="n">
        <v>0.0328</v>
      </c>
      <c r="S6" s="9" t="n">
        <v>1.1305</v>
      </c>
      <c r="T6" s="10" t="n">
        <v>0.0727</v>
      </c>
      <c r="U6" s="9" t="n">
        <v>0.2032</v>
      </c>
      <c r="V6" s="9" t="n">
        <v>292</v>
      </c>
      <c r="W6" s="9" t="n">
        <v>55</v>
      </c>
      <c r="X6" s="10" t="n">
        <v>0.0543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[38.5, +inf)</t>
        </is>
      </c>
      <c r="F7" s="11" t="n">
        <v>33</v>
      </c>
      <c r="G7" s="11" t="n">
        <v>23</v>
      </c>
      <c r="H7" s="11" t="n">
        <v>10</v>
      </c>
      <c r="I7" s="12" t="n">
        <v>0.034</v>
      </c>
      <c r="J7" s="12" t="n">
        <v>0.0276</v>
      </c>
      <c r="K7" s="12" t="n">
        <v>0.0735</v>
      </c>
      <c r="L7" s="12" t="n">
        <v>0.303</v>
      </c>
      <c r="M7" s="11" t="n">
        <v>0.9807</v>
      </c>
      <c r="N7" s="11" t="n">
        <v>0.0451</v>
      </c>
      <c r="O7" s="11" t="n">
        <v>0.063</v>
      </c>
      <c r="P7" s="11" t="n">
        <v>2.1613</v>
      </c>
      <c r="Q7" s="12" t="n">
        <v>0.0409</v>
      </c>
      <c r="R7" s="11" t="n">
        <v>1.2022</v>
      </c>
      <c r="S7" s="11" t="n">
        <v>2.1613</v>
      </c>
      <c r="T7" s="12" t="n">
        <v>0.0409</v>
      </c>
      <c r="U7" s="11" t="n">
        <v>1.2022</v>
      </c>
      <c r="V7" s="11" t="n">
        <v>23</v>
      </c>
      <c r="W7" s="11" t="n">
        <v>10</v>
      </c>
      <c r="X7" s="12" t="n">
        <v>0.046</v>
      </c>
    </row>
    <row r="8">
      <c r="B8" s="13" t="n">
        <v>4</v>
      </c>
      <c r="C8" s="13" t="inlineStr">
        <is>
          <t>手机号近一个月非银多头机构数</t>
        </is>
      </c>
      <c r="D8" s="13" t="inlineStr">
        <is>
          <t>手机号近一个月非银多头机构数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0.063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0.0543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X8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50" customWidth="1" style="1" min="2" max="2"/>
    <col width="31.4" customWidth="1" style="1" min="3" max="16384"/>
    <col width="31.4" customWidth="1" style="1" min="4" max="4"/>
    <col width="16.4" customWidth="1" style="1" min="5" max="5"/>
    <col width="10.4" customWidth="1" style="1" min="6" max="6"/>
    <col width="10.4" customWidth="1" style="1" min="7" max="7"/>
    <col width="10.4" customWidth="1" style="1" min="8" max="8"/>
    <col width="10.4" customWidth="1" style="1" min="9" max="9"/>
    <col width="12.5" customWidth="1" style="1" min="10" max="10"/>
    <col width="12.5" customWidth="1" style="1" min="11" max="11"/>
    <col width="10.4" customWidth="1" style="1" min="12" max="12"/>
    <col width="11.9" customWidth="1" style="1" min="13" max="13"/>
    <col width="10.7" customWidth="1" style="1" min="14" max="14"/>
    <col width="10.7" customWidth="1" style="1" min="15" max="15"/>
    <col width="9.199999999999999" customWidth="1" style="1" min="16" max="16"/>
    <col width="10.4" customWidth="1" style="1" min="17" max="17"/>
    <col width="12.5" customWidth="1" style="1" min="18" max="18"/>
    <col width="13.1" customWidth="1" style="1" min="19" max="19"/>
    <col width="14.6" customWidth="1" style="1" min="20" max="20"/>
    <col width="16.7" customWidth="1" style="1" min="21" max="21"/>
    <col width="14.6" customWidth="1" style="1" min="22" max="22"/>
    <col width="14.6" customWidth="1" style="1" min="23" max="23"/>
    <col width="10.7" customWidth="1" style="1" min="24" max="24"/>
  </cols>
  <sheetData>
    <row r="1"/>
    <row r="2">
      <c r="B2" s="2" t="inlineStr">
        <is>
          <t>method_tables/手机号近一个月非银多头机构数/best_iv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4" t="n"/>
    </row>
    <row r="3">
      <c r="B3" s="5" t="n"/>
      <c r="C3" s="6" t="inlineStr">
        <is>
          <t>指标名称</t>
        </is>
      </c>
      <c r="D3" s="6" t="inlineStr">
        <is>
          <t>指标含义</t>
        </is>
      </c>
      <c r="E3" s="6" t="inlineStr">
        <is>
          <t>分箱标签</t>
        </is>
      </c>
      <c r="F3" s="6" t="inlineStr">
        <is>
          <t>样本总数</t>
        </is>
      </c>
      <c r="G3" s="6" t="inlineStr">
        <is>
          <t>好样本数</t>
        </is>
      </c>
      <c r="H3" s="6" t="inlineStr">
        <is>
          <t>坏样本数</t>
        </is>
      </c>
      <c r="I3" s="6" t="inlineStr">
        <is>
          <t>样本占比</t>
        </is>
      </c>
      <c r="J3" s="6" t="inlineStr">
        <is>
          <t>好样本占比</t>
        </is>
      </c>
      <c r="K3" s="6" t="inlineStr">
        <is>
          <t>坏样本占比</t>
        </is>
      </c>
      <c r="L3" s="6" t="inlineStr">
        <is>
          <t>坏样本率</t>
        </is>
      </c>
      <c r="M3" s="6" t="inlineStr">
        <is>
          <t>分档WOE值</t>
        </is>
      </c>
      <c r="N3" s="6" t="inlineStr">
        <is>
          <t>分档IV值</t>
        </is>
      </c>
      <c r="O3" s="6" t="inlineStr">
        <is>
          <t>指标IV值</t>
        </is>
      </c>
      <c r="P3" s="6" t="inlineStr">
        <is>
          <t>LIFT值</t>
        </is>
      </c>
      <c r="Q3" s="6" t="inlineStr">
        <is>
          <t>坏账改善</t>
        </is>
      </c>
      <c r="R3" s="6" t="inlineStr">
        <is>
          <t>风险拒绝比</t>
        </is>
      </c>
      <c r="S3" s="6" t="inlineStr">
        <is>
          <t>累积LIFT值</t>
        </is>
      </c>
      <c r="T3" s="6" t="inlineStr">
        <is>
          <t>累积坏账改善</t>
        </is>
      </c>
      <c r="U3" s="6" t="inlineStr">
        <is>
          <t>累计风险拒绝比</t>
        </is>
      </c>
      <c r="V3" s="6" t="inlineStr">
        <is>
          <t>累积好样本数</t>
        </is>
      </c>
      <c r="W3" s="6" t="inlineStr">
        <is>
          <t>累积坏样本数</t>
        </is>
      </c>
      <c r="X3" s="8" t="inlineStr">
        <is>
          <t>分档KS值</t>
        </is>
      </c>
    </row>
    <row r="4">
      <c r="B4" s="9" t="n">
        <v>0</v>
      </c>
      <c r="C4" s="9" t="inlineStr">
        <is>
          <t>手机号近一个月非银多头机构数</t>
        </is>
      </c>
      <c r="D4" s="9" t="inlineStr">
        <is>
          <t>手机号近一个月非银多头机构数</t>
        </is>
      </c>
      <c r="E4" s="9" t="inlineStr">
        <is>
          <t>[-inf, 10.5)</t>
        </is>
      </c>
      <c r="F4" s="9" t="n">
        <v>78</v>
      </c>
      <c r="G4" s="9" t="n">
        <v>71</v>
      </c>
      <c r="H4" s="9" t="n">
        <v>7</v>
      </c>
      <c r="I4" s="10" t="n">
        <v>0.0804</v>
      </c>
      <c r="J4" s="10" t="n">
        <v>0.0851</v>
      </c>
      <c r="K4" s="10" t="n">
        <v>0.0515</v>
      </c>
      <c r="L4" s="10" t="n">
        <v>0.0897</v>
      </c>
      <c r="M4" s="9" t="n">
        <v>-0.5032</v>
      </c>
      <c r="N4" s="9" t="n">
        <v>0.0169</v>
      </c>
      <c r="O4" s="9" t="n">
        <v>0.063</v>
      </c>
      <c r="P4" s="9" t="n">
        <v>0.6401</v>
      </c>
      <c r="Q4" s="10" t="n">
        <v>-0.0315</v>
      </c>
      <c r="R4" s="9" t="n">
        <v>-0.3914</v>
      </c>
      <c r="S4" s="9" t="n">
        <v>1</v>
      </c>
      <c r="T4" s="10" t="n">
        <v>1</v>
      </c>
      <c r="U4" s="9" t="n">
        <v>1</v>
      </c>
      <c r="V4" s="9" t="n">
        <v>834</v>
      </c>
      <c r="W4" s="9" t="n">
        <v>136</v>
      </c>
      <c r="X4" s="10" t="n">
        <v>0</v>
      </c>
    </row>
    <row r="5">
      <c r="B5" s="11" t="n">
        <v>1</v>
      </c>
      <c r="C5" s="11" t="inlineStr">
        <is>
          <t>手机号近一个月非银多头机构数</t>
        </is>
      </c>
      <c r="D5" s="11" t="inlineStr">
        <is>
          <t>手机号近一个月非银多头机构数</t>
        </is>
      </c>
      <c r="E5" s="11" t="inlineStr">
        <is>
          <t>[10.5, 26.0)</t>
        </is>
      </c>
      <c r="F5" s="11" t="n">
        <v>545</v>
      </c>
      <c r="G5" s="11" t="n">
        <v>471</v>
      </c>
      <c r="H5" s="11" t="n">
        <v>74</v>
      </c>
      <c r="I5" s="12" t="n">
        <v>0.5619</v>
      </c>
      <c r="J5" s="12" t="n">
        <v>0.5647</v>
      </c>
      <c r="K5" s="12" t="n">
        <v>0.5441</v>
      </c>
      <c r="L5" s="12" t="n">
        <v>0.1358</v>
      </c>
      <c r="M5" s="11" t="n">
        <v>-0.0372</v>
      </c>
      <c r="N5" s="11" t="n">
        <v>0.0008</v>
      </c>
      <c r="O5" s="11" t="n">
        <v>0.063</v>
      </c>
      <c r="P5" s="11" t="n">
        <v>0.9684</v>
      </c>
      <c r="Q5" s="12" t="n">
        <v>-0.0405</v>
      </c>
      <c r="R5" s="11" t="n">
        <v>-0.0721</v>
      </c>
      <c r="S5" s="11" t="n">
        <v>1.0315</v>
      </c>
      <c r="T5" s="12" t="n">
        <v>0.3599</v>
      </c>
      <c r="U5" s="11" t="n">
        <v>0.3914</v>
      </c>
      <c r="V5" s="11" t="n">
        <v>763</v>
      </c>
      <c r="W5" s="11" t="n">
        <v>129</v>
      </c>
      <c r="X5" s="12" t="n">
        <v>0.0337</v>
      </c>
    </row>
    <row r="6">
      <c r="B6" s="9" t="n">
        <v>2</v>
      </c>
      <c r="C6" s="9" t="inlineStr">
        <is>
          <t>手机号近一个月非银多头机构数</t>
        </is>
      </c>
      <c r="D6" s="9" t="inlineStr">
        <is>
          <t>手机号近一个月非银多头机构数</t>
        </is>
      </c>
      <c r="E6" s="9" t="inlineStr">
        <is>
          <t>[26.0, 38.5)</t>
        </is>
      </c>
      <c r="F6" s="9" t="n">
        <v>314</v>
      </c>
      <c r="G6" s="9" t="n">
        <v>269</v>
      </c>
      <c r="H6" s="9" t="n">
        <v>45</v>
      </c>
      <c r="I6" s="10" t="n">
        <v>0.3237</v>
      </c>
      <c r="J6" s="10" t="n">
        <v>0.3225</v>
      </c>
      <c r="K6" s="10" t="n">
        <v>0.3309</v>
      </c>
      <c r="L6" s="10" t="n">
        <v>0.1433</v>
      </c>
      <c r="M6" s="9" t="n">
        <v>0.0255</v>
      </c>
      <c r="N6" s="9" t="n">
        <v>0.0002</v>
      </c>
      <c r="O6" s="9" t="n">
        <v>0.063</v>
      </c>
      <c r="P6" s="9" t="n">
        <v>1.0222</v>
      </c>
      <c r="Q6" s="10" t="n">
        <v>0.0106</v>
      </c>
      <c r="R6" s="9" t="n">
        <v>0.0328</v>
      </c>
      <c r="S6" s="9" t="n">
        <v>1.1305</v>
      </c>
      <c r="T6" s="10" t="n">
        <v>0.0727</v>
      </c>
      <c r="U6" s="9" t="n">
        <v>0.2032</v>
      </c>
      <c r="V6" s="9" t="n">
        <v>292</v>
      </c>
      <c r="W6" s="9" t="n">
        <v>55</v>
      </c>
      <c r="X6" s="10" t="n">
        <v>0.0543</v>
      </c>
    </row>
    <row r="7">
      <c r="B7" s="11" t="n">
        <v>3</v>
      </c>
      <c r="C7" s="11" t="inlineStr">
        <is>
          <t>手机号近一个月非银多头机构数</t>
        </is>
      </c>
      <c r="D7" s="11" t="inlineStr">
        <is>
          <t>手机号近一个月非银多头机构数</t>
        </is>
      </c>
      <c r="E7" s="11" t="inlineStr">
        <is>
          <t>[38.5, +inf)</t>
        </is>
      </c>
      <c r="F7" s="11" t="n">
        <v>33</v>
      </c>
      <c r="G7" s="11" t="n">
        <v>23</v>
      </c>
      <c r="H7" s="11" t="n">
        <v>10</v>
      </c>
      <c r="I7" s="12" t="n">
        <v>0.034</v>
      </c>
      <c r="J7" s="12" t="n">
        <v>0.0276</v>
      </c>
      <c r="K7" s="12" t="n">
        <v>0.0735</v>
      </c>
      <c r="L7" s="12" t="n">
        <v>0.303</v>
      </c>
      <c r="M7" s="11" t="n">
        <v>0.9807</v>
      </c>
      <c r="N7" s="11" t="n">
        <v>0.0451</v>
      </c>
      <c r="O7" s="11" t="n">
        <v>0.063</v>
      </c>
      <c r="P7" s="11" t="n">
        <v>2.1613</v>
      </c>
      <c r="Q7" s="12" t="n">
        <v>0.0409</v>
      </c>
      <c r="R7" s="11" t="n">
        <v>1.2022</v>
      </c>
      <c r="S7" s="11" t="n">
        <v>2.1613</v>
      </c>
      <c r="T7" s="12" t="n">
        <v>0.0409</v>
      </c>
      <c r="U7" s="11" t="n">
        <v>1.2022</v>
      </c>
      <c r="V7" s="11" t="n">
        <v>23</v>
      </c>
      <c r="W7" s="11" t="n">
        <v>10</v>
      </c>
      <c r="X7" s="12" t="n">
        <v>0.046</v>
      </c>
    </row>
    <row r="8">
      <c r="B8" s="13" t="n">
        <v>4</v>
      </c>
      <c r="C8" s="13" t="inlineStr">
        <is>
          <t>手机号近一个月非银多头机构数</t>
        </is>
      </c>
      <c r="D8" s="13" t="inlineStr">
        <is>
          <t>手机号近一个月非银多头机构数</t>
        </is>
      </c>
      <c r="E8" s="13" t="inlineStr">
        <is>
          <t>合计</t>
        </is>
      </c>
      <c r="F8" s="13" t="n">
        <v>970</v>
      </c>
      <c r="G8" s="13" t="n">
        <v>834</v>
      </c>
      <c r="H8" s="13" t="n">
        <v>136</v>
      </c>
      <c r="I8" s="14" t="n">
        <v>1</v>
      </c>
      <c r="J8" s="14" t="n">
        <v>1</v>
      </c>
      <c r="K8" s="14" t="n">
        <v>1</v>
      </c>
      <c r="L8" s="14" t="n">
        <v>0.1402</v>
      </c>
      <c r="M8" s="13" t="n">
        <v>0</v>
      </c>
      <c r="N8" s="13" t="n">
        <v>0</v>
      </c>
      <c r="O8" s="13" t="n">
        <v>0.063</v>
      </c>
      <c r="P8" s="13" t="n">
        <v>1</v>
      </c>
      <c r="Q8" s="14" t="n">
        <v>0</v>
      </c>
      <c r="R8" s="13" t="n">
        <v>0</v>
      </c>
      <c r="S8" s="13" t="n">
        <v>1</v>
      </c>
      <c r="T8" s="14" t="n">
        <v>1</v>
      </c>
      <c r="U8" s="13" t="n">
        <v>1</v>
      </c>
      <c r="V8" s="13" t="n">
        <v>834</v>
      </c>
      <c r="W8" s="13" t="n">
        <v>136</v>
      </c>
      <c r="X8" s="14" t="n">
        <v>0.0543</v>
      </c>
    </row>
  </sheetData>
  <mergeCells count="1">
    <mergeCell ref="B2:X2"/>
  </mergeCells>
  <conditionalFormatting sqref="L4:L8">
    <cfRule type="dataBar" priority="1">
      <dataBar>
        <cfvo type="min"/>
        <cfvo type="max"/>
        <color rgb="00F76E6C"/>
      </dataBar>
    </cfRule>
  </conditionalFormatting>
  <conditionalFormatting sqref="O4:O8">
    <cfRule type="dataBar" priority="2">
      <dataBar>
        <cfvo type="min"/>
        <cfvo type="max"/>
        <color rgb="00F76E6C"/>
      </dataBar>
    </cfRule>
  </conditionalFormatting>
  <conditionalFormatting sqref="P4:P8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2026-10-09T03:21:42Z</dcterms:modified>
  <cp:lastModifiedBy>Microsoft Office User</cp:lastModifiedBy>
</cp:coreProperties>
</file>