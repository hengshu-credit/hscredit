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workspace\hscredit\docs\assets\readme\excel\"/>
    </mc:Choice>
  </mc:AlternateContent>
  <xr:revisionPtr revIDLastSave="0" documentId="13_ncr:1_{A77B84F7-DEA1-4D5E-B389-6E8EAC4FFD04}" xr6:coauthVersionLast="47" xr6:coauthVersionMax="47" xr10:uidLastSave="{00000000-0000-0000-0000-000000000000}"/>
  <bookViews>
    <workbookView xWindow="-120" yWindow="-120" windowWidth="42180" windowHeight="18870" xr2:uid="{00000000-000D-0000-FFFF-FFFF00000000}"/>
  </bookViews>
  <sheets>
    <sheet name="分箱统计" sheetId="1" r:id="rId1"/>
    <sheet name="透视分析" sheetId="2" r:id="rId2"/>
  </sheets>
  <calcPr calcId="0"/>
  <pivotCaches>
    <pivotCache cacheId="6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<sst xmlns="http://schemas.openxmlformats.org/spreadsheetml/2006/main" count="35" uniqueCount="30">
  <si>
    <t>查看数据透视表</t>
  </si>
  <si>
    <t>dataframe2excel 完整分箱表</t>
  </si>
  <si>
    <t>分箱</t>
  </si>
  <si>
    <t>分箱标签</t>
  </si>
  <si>
    <t>样本总数</t>
  </si>
  <si>
    <t>好样本数</t>
  </si>
  <si>
    <t>坏样本数</t>
  </si>
  <si>
    <t>样本占比</t>
  </si>
  <si>
    <t>好样本占比</t>
  </si>
  <si>
    <t>坏样本占比</t>
  </si>
  <si>
    <t>坏样本率</t>
  </si>
  <si>
    <t>分档WOE值</t>
  </si>
  <si>
    <t>分档IV值</t>
  </si>
  <si>
    <t>指标IV值</t>
  </si>
  <si>
    <t>LIFT值</t>
  </si>
  <si>
    <t>坏账改善</t>
  </si>
  <si>
    <t>累积LIFT值</t>
  </si>
  <si>
    <t>累积坏账改善</t>
  </si>
  <si>
    <t>累积好样本数</t>
  </si>
  <si>
    <t>累积坏样本数</t>
  </si>
  <si>
    <t>分档KS值</t>
  </si>
  <si>
    <t>[-inf, 0.0541)</t>
  </si>
  <si>
    <t>[0.0541, 0.0838)</t>
  </si>
  <si>
    <t>[0.0838, 0.1239)</t>
  </si>
  <si>
    <t>[0.1239, +inf)</t>
  </si>
  <si>
    <t>值</t>
  </si>
  <si>
    <t>行标签</t>
  </si>
  <si>
    <t>求和项:样本总数</t>
  </si>
  <si>
    <t>求和项:坏样本数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</si>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</sst>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华文楷体"/>
      <family val="2"/>
      <charset val="134"/>
      <scheme val="minor"/>
    </font>
    <font>
      <sz val="9"/>
      <name val="华文楷体"/>
      <family val="2"/>
      <charset val="134"/>
      <scheme val="minor"/>
    </font>
    <font>
      <sz val="10"/>
      <color theme="1"/>
      <name val="楷体"/>
      <family val="3"/>
      <charset val="134"/>
    </font>
    <font>
      <b/>
      <sz val="10"/>
      <color rgb="FFFFFFFF"/>
      <name val="阿里妈妈方圆体 VF Medium"/>
      <charset val="134"/>
    </font>
    <font>
      <sz val="10"/>
      <color rgb="FF000000"/>
      <name val="阿里妈妈方圆体 VF Medium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639E9"/>
      </patternFill>
    </fill>
    <fill>
      <patternFill patternType="solid">
        <fgColor rgb="FFFFFFFF"/>
      </patternFill>
    </fill>
    <fill>
      <patternFill patternType="solid">
        <fgColor rgb="FFDEE1FB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2639E9"/>
      </left>
      <right style="medium">
        <color rgb="FF2639E9"/>
      </right>
      <top style="medium">
        <color rgb="FF2639E9"/>
      </top>
      <bottom style="medium">
        <color rgb="FF2639E9"/>
      </bottom>
      <diagonal/>
    </border>
    <border>
      <left style="medium">
        <color rgb="FF2639E9"/>
      </left>
      <right style="thin">
        <color rgb="FFFFFFFF"/>
      </right>
      <top style="medium">
        <color rgb="FF2639E9"/>
      </top>
      <bottom style="medium">
        <color rgb="FF2639E9"/>
      </bottom>
      <diagonal/>
    </border>
    <border>
      <left style="thin">
        <color rgb="FFFFFFFF"/>
      </left>
      <right style="thin">
        <color rgb="FFFFFFFF"/>
      </right>
      <top style="medium">
        <color rgb="FF2639E9"/>
      </top>
      <bottom style="medium">
        <color rgb="FF2639E9"/>
      </bottom>
      <diagonal/>
    </border>
    <border>
      <left style="thin">
        <color rgb="FFFFFFFF"/>
      </left>
      <right style="medium">
        <color rgb="FF2639E9"/>
      </right>
      <top style="medium">
        <color rgb="FF2639E9"/>
      </top>
      <bottom style="medium">
        <color rgb="FF2639E9"/>
      </bottom>
      <diagonal/>
    </border>
    <border>
      <left style="medium">
        <color rgb="FF2639E9"/>
      </left>
      <right style="medium">
        <color rgb="FF2639E9"/>
      </right>
      <top/>
      <bottom style="medium">
        <color rgb="FF2639E9"/>
      </bottom>
      <diagonal/>
    </border>
    <border>
      <left style="medium">
        <color rgb="FF2639E9"/>
      </left>
      <right style="medium">
        <color rgb="FF2639E9"/>
      </right>
      <top/>
      <bottom style="thin">
        <color rgb="FF2639E9"/>
      </bottom>
      <diagonal/>
    </border>
    <border>
      <left style="medium">
        <color rgb="FF2639E9"/>
      </left>
      <right/>
      <top/>
      <bottom style="thin">
        <color rgb="FF2639E9"/>
      </bottom>
      <diagonal/>
    </border>
    <border>
      <left/>
      <right/>
      <top/>
      <bottom style="thin">
        <color rgb="FF2639E9"/>
      </bottom>
      <diagonal/>
    </border>
    <border>
      <left/>
      <right style="medium">
        <color rgb="FF2639E9"/>
      </right>
      <top/>
      <bottom style="thin">
        <color rgb="FF2639E9"/>
      </bottom>
      <diagonal/>
    </border>
    <border>
      <left/>
      <right/>
      <top/>
      <bottom style="thin">
        <color rgb="FFFFFFFF"/>
      </bottom>
      <diagonal/>
    </border>
    <border>
      <left style="medium">
        <color rgb="FF2639E9"/>
      </left>
      <right style="medium">
        <color rgb="FF2639E9"/>
      </right>
      <top style="medium">
        <color rgb="FF2639E9"/>
      </top>
      <bottom style="thin">
        <color rgb="FF2639E9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rgb="FF2639E9"/>
      </bottom>
      <diagonal/>
    </border>
    <border>
      <left/>
      <right/>
      <top style="medium">
        <color rgb="FF2639E9"/>
      </top>
      <bottom style="medium">
        <color rgb="FF2639E9"/>
      </bottom>
      <diagonal/>
    </border>
    <border>
      <left/>
      <right style="medium">
        <color rgb="FF2639E9"/>
      </right>
      <top style="medium">
        <color rgb="FF2639E9"/>
      </top>
      <bottom style="medium">
        <color rgb="FF2639E9"/>
      </bottom>
      <diagonal/>
    </border>
  </borders>
  <cellStyleXfs count="15">
    <xf numFmtId="0" fontId="0" fillId="0" borderId="0">
      <alignment vertical="center"/>
    </xf>
    <xf numFmtId="0" fontId="3" fillId="3" borderId="2">
      <alignment horizontal="left" vertical="center" wrapText="1"/>
    </xf>
    <xf numFmtId="0" fontId="3" fillId="3" borderId="3">
      <alignment horizontal="center" vertical="center"/>
    </xf>
    <xf numFmtId="0" fontId="3" fillId="3" borderId="4">
      <alignment horizontal="center" vertical="center"/>
    </xf>
    <xf numFmtId="0" fontId="3" fillId="3" borderId="5">
      <alignment horizontal="center" vertical="center"/>
    </xf>
    <xf numFmtId="0" fontId="4" fillId="4" borderId="6">
      <alignment horizontal="center" vertical="center"/>
    </xf>
    <xf numFmtId="0" fontId="4" fillId="4" borderId="7">
      <alignment horizontal="center" vertical="center"/>
    </xf>
    <xf numFmtId="0" fontId="4" fillId="4" borderId="8">
      <alignment horizontal="center" vertical="center"/>
    </xf>
    <xf numFmtId="0" fontId="4" fillId="4" borderId="9">
      <alignment horizontal="center" vertical="center"/>
    </xf>
    <xf numFmtId="0" fontId="4" fillId="4" borderId="10">
      <alignment horizontal="center" vertical="center"/>
    </xf>
    <xf numFmtId="0" fontId="4" fillId="4" borderId="11">
      <alignment horizontal="center" vertical="center"/>
    </xf>
    <xf numFmtId="0" fontId="4" fillId="4" borderId="12">
      <alignment horizontal="center" vertical="center"/>
    </xf>
    <xf numFmtId="0" fontId="4" fillId="4" borderId="13">
      <alignment horizontal="center" vertical="center"/>
    </xf>
    <xf numFmtId="0" fontId="4" fillId="5" borderId="13">
      <alignment horizontal="center" vertical="center"/>
    </xf>
    <xf numFmtId="0" fontId="4" fillId="5" borderId="14">
      <alignment horizontal="center" vertical="center"/>
    </xf>
  </cellStyleXfs>
  <cellXfs count="19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4" borderId="7" xfId="6" applyAlignment="1">
      <alignment horizontal="center" vertical="center"/>
    </xf>
    <xf numFmtId="0" fontId="3" fillId="3" borderId="3" xfId="2" applyAlignment="1">
      <alignment horizontal="center" vertical="center"/>
    </xf>
    <xf numFmtId="0" fontId="3" fillId="3" borderId="4" xfId="3" applyAlignment="1">
      <alignment horizontal="center" vertical="center"/>
    </xf>
    <xf numFmtId="0" fontId="3" fillId="3" borderId="5" xfId="4" applyAlignment="1">
      <alignment horizontal="center" vertical="center"/>
    </xf>
    <xf numFmtId="0" fontId="4" fillId="4" borderId="13" xfId="12" applyAlignment="1">
      <alignment horizontal="center" vertical="center"/>
    </xf>
    <xf numFmtId="10" fontId="4" fillId="4" borderId="13" xfId="12" applyNumberFormat="1" applyAlignment="1">
      <alignment horizontal="center" vertical="center"/>
    </xf>
    <xf numFmtId="0" fontId="4" fillId="5" borderId="13" xfId="13" applyAlignment="1">
      <alignment horizontal="center" vertical="center"/>
    </xf>
    <xf numFmtId="10" fontId="4" fillId="5" borderId="13" xfId="13" applyNumberFormat="1" applyAlignment="1">
      <alignment horizontal="center" vertical="center"/>
    </xf>
    <xf numFmtId="0" fontId="4" fillId="5" borderId="14" xfId="14" applyAlignment="1">
      <alignment horizontal="center" vertical="center"/>
    </xf>
    <xf numFmtId="10" fontId="4" fillId="5" borderId="14" xfId="14" applyNumberFormat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3" fillId="3" borderId="2" xfId="1" applyAlignment="1">
      <alignment horizontal="left" vertical="center" wrapText="1"/>
    </xf>
    <xf numFmtId="0" fontId="0" fillId="0" borderId="15" xfId="0" applyBorder="1" applyAlignment="1"/>
    <xf numFmtId="0" fontId="0" fillId="0" borderId="16" xfId="0" applyBorder="1" applyAlignment="1"/>
  </cellXfs>
  <cellStyles count="15">
    <cellStyle name="content" xfId="6" xr:uid="{00000000-0005-0000-0000-000009000000}"/>
    <cellStyle name="first" xfId="11" xr:uid="{00000000-0005-0000-0000-000011000000}"/>
    <cellStyle name="header" xfId="1" xr:uid="{00000000-0005-0000-0000-000001000000}"/>
    <cellStyle name="header_left" xfId="2" xr:uid="{00000000-0005-0000-0000-000002000000}"/>
    <cellStyle name="header_middle" xfId="3" xr:uid="{00000000-0005-0000-0000-000003000000}"/>
    <cellStyle name="header_right" xfId="4" xr:uid="{00000000-0005-0000-0000-000004000000}"/>
    <cellStyle name="last" xfId="5" xr:uid="{00000000-0005-0000-0000-000005000000}"/>
    <cellStyle name="left" xfId="7" xr:uid="{00000000-0005-0000-0000-00000A000000}"/>
    <cellStyle name="merge" xfId="10" xr:uid="{00000000-0005-0000-0000-00000D000000}"/>
    <cellStyle name="middle" xfId="8" xr:uid="{00000000-0005-0000-0000-00000B000000}"/>
    <cellStyle name="middle_even" xfId="13" xr:uid="{00000000-0005-0000-0000-000018000000}"/>
    <cellStyle name="middle_even_last" xfId="14" xr:uid="{00000000-0005-0000-0000-00001A000000}"/>
    <cellStyle name="middle_odd" xfId="12" xr:uid="{00000000-0005-0000-0000-000015000000}"/>
    <cellStyle name="right" xfId="9" xr:uid="{00000000-0005-0000-0000-00000C000000}"/>
    <cellStyle name="常规" xfId="0" builtinId="0"/>
  </cellStyles>
  <dxfs count="3">
    <dxf>
      <fill>
        <patternFill patternType="solid">
          <fgColor rgb="FFDEE1FB"/>
          <bgColor rgb="FFDEE1FB"/>
        </patternFill>
      </fill>
    </dxf>
    <dxf>
      <font>
        <b/>
        <color rgb="FFFFFFFF"/>
      </font>
      <fill>
        <patternFill patternType="solid">
          <fgColor rgb="FF2639E9"/>
          <bgColor rgb="FF2639E9"/>
        </patternFill>
      </fill>
    </dxf>
    <dxf>
      <font>
        <b/>
        <color rgb="FFFFFFFF"/>
      </font>
      <fill>
        <patternFill patternType="solid">
          <fgColor rgb="FF2639E9"/>
          <bgColor rgb="FF2639E9"/>
        </patternFill>
      </fill>
    </dxf>
  </dxfs>
  <tableStyles count="1" defaultTableStyle="TableStyleMedium2" defaultPivotStyle="PivotStyleLight16">
    <tableStyle name="HSCreditPivotStyle" table="0" count="3" xr9:uid="{00000000-0011-0000-FFFF-FFFF00000000}"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istrator" refreshedDate="46304.474287500001" createdVersion="6" refreshedVersion="7" minRefreshableVersion="3" recordCount="4" xr:uid="{00000000-000A-0000-FFFF-FFFF00000000}">
  <cacheSource type="worksheet">
    <worksheetSource ref="C6:U10" sheet="分箱统计"/>
  </cacheSource>
  <cacheFields count="19">
    <cacheField name="分箱" numFmtId="0">
      <sharedItems containsSemiMixedTypes="0" containsString="0" containsNumber="1" containsInteger="1" minValue="0" maxValue="3"/>
    </cacheField>
    <cacheField name="分箱标签" numFmtId="0">
      <sharedItems count="4">
        <s v="[-inf, 0.0541)"/>
        <s v="[0.0541, 0.0838)"/>
        <s v="[0.0838, 0.1239)"/>
        <s v="[0.1239, +inf)"/>
      </sharedItems>
    </cacheField>
    <cacheField name="样本总数" numFmtId="0">
      <sharedItems containsSemiMixedTypes="0" containsString="0" containsNumber="1" containsInteger="1" minValue="242" maxValue="243"/>
    </cacheField>
    <cacheField name="好样本数" numFmtId="0">
      <sharedItems containsSemiMixedTypes="0" containsString="0" containsNumber="1" containsInteger="1" minValue="190" maxValue="223"/>
    </cacheField>
    <cacheField name="坏样本数" numFmtId="0">
      <sharedItems containsSemiMixedTypes="0" containsString="0" containsNumber="1" containsInteger="1" minValue="20" maxValue="53"/>
    </cacheField>
    <cacheField name="样本占比" numFmtId="10">
      <sharedItems containsSemiMixedTypes="0" containsString="0" containsNumber="1" minValue="0.2495" maxValue="0.2505"/>
    </cacheField>
    <cacheField name="好样本占比" numFmtId="10">
      <sharedItems containsSemiMixedTypes="0" containsString="0" containsNumber="1" minValue="0.2278" maxValue="0.26740000000000003"/>
    </cacheField>
    <cacheField name="坏样本占比" numFmtId="10">
      <sharedItems containsSemiMixedTypes="0" containsString="0" containsNumber="1" minValue="0.14710000000000001" maxValue="0.38969999999999999"/>
    </cacheField>
    <cacheField name="坏样本率" numFmtId="10">
      <sharedItems containsSemiMixedTypes="0" containsString="0" containsNumber="1" minValue="8.2299999999999998E-2" maxValue="0.21809999999999999"/>
    </cacheField>
    <cacheField name="分档WOE值" numFmtId="0">
      <sharedItems containsSemiMixedTypes="0" containsString="0" containsNumber="1" minValue="-0.59789999999999999" maxValue="0.53680000000000005"/>
    </cacheField>
    <cacheField name="分档IV值" numFmtId="0">
      <sharedItems containsSemiMixedTypes="0" containsString="0" containsNumber="1" minValue="0" maxValue="8.6900000000000005E-2"/>
    </cacheField>
    <cacheField name="指标IV值" numFmtId="0">
      <sharedItems containsSemiMixedTypes="0" containsString="0" containsNumber="1" minValue="0.16650000000000001" maxValue="0.16650000000000001"/>
    </cacheField>
    <cacheField name="LIFT值" numFmtId="0">
      <sharedItems containsSemiMixedTypes="0" containsString="0" containsNumber="1" minValue="0.58699999999999997" maxValue="1.5556000000000001"/>
    </cacheField>
    <cacheField name="坏账改善" numFmtId="10">
      <sharedItems containsSemiMixedTypes="0" containsString="0" containsNumber="1" minValue="-0.13800000000000001" maxValue="0.1857"/>
    </cacheField>
    <cacheField name="累积LIFT值" numFmtId="0">
      <sharedItems containsSemiMixedTypes="0" containsString="0" containsNumber="1" minValue="1" maxValue="1.5556000000000001"/>
    </cacheField>
    <cacheField name="累积坏账改善" numFmtId="10">
      <sharedItems containsSemiMixedTypes="0" containsString="0" containsNumber="1" minValue="0.1857" maxValue="1"/>
    </cacheField>
    <cacheField name="累积好样本数" numFmtId="0">
      <sharedItems containsSemiMixedTypes="0" containsString="0" containsNumber="1" containsInteger="1" minValue="190" maxValue="834"/>
    </cacheField>
    <cacheField name="累积坏样本数" numFmtId="0">
      <sharedItems containsSemiMixedTypes="0" containsString="0" containsNumber="1" containsInteger="1" minValue="53" maxValue="136"/>
    </cacheField>
    <cacheField name="分档KS值" numFmtId="10">
      <sharedItems containsSemiMixedTypes="0" containsString="0" containsNumber="1" minValue="0" maxValue="0.1618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0"/>
    <x v="0"/>
    <n v="243"/>
    <n v="223"/>
    <n v="20"/>
    <n v="0.2505"/>
    <n v="0.26740000000000003"/>
    <n v="0.14710000000000001"/>
    <n v="8.2299999999999998E-2"/>
    <n v="-0.59789999999999999"/>
    <n v="7.1900000000000006E-2"/>
    <n v="0.16650000000000001"/>
    <n v="0.58699999999999997"/>
    <n v="-0.13800000000000001"/>
    <n v="1"/>
    <n v="1"/>
    <n v="834"/>
    <n v="136"/>
    <n v="0"/>
  </r>
  <r>
    <n v="1"/>
    <x v="1"/>
    <n v="242"/>
    <n v="208"/>
    <n v="34"/>
    <n v="0.2495"/>
    <n v="0.24940000000000001"/>
    <n v="0.25"/>
    <n v="0.14050000000000001"/>
    <n v="2.3999999999999998E-3"/>
    <n v="0"/>
    <n v="0.16650000000000001"/>
    <n v="1.0021"/>
    <n v="6.9999999999999999E-4"/>
    <n v="1.1379999999999999"/>
    <n v="0.41299999999999998"/>
    <n v="611"/>
    <n v="116"/>
    <n v="0.1203"/>
  </r>
  <r>
    <n v="2"/>
    <x v="2"/>
    <n v="242"/>
    <n v="213"/>
    <n v="29"/>
    <n v="0.2495"/>
    <n v="0.25540000000000002"/>
    <n v="0.2132"/>
    <n v="0.1198"/>
    <n v="-0.1804"/>
    <n v="7.6E-3"/>
    <n v="0.16650000000000001"/>
    <n v="0.85470000000000002"/>
    <n v="-4.8300000000000003E-2"/>
    <n v="1.2059"/>
    <n v="0.2059"/>
    <n v="403"/>
    <n v="82"/>
    <n v="0.1197"/>
  </r>
  <r>
    <n v="3"/>
    <x v="3"/>
    <n v="243"/>
    <n v="190"/>
    <n v="53"/>
    <n v="0.2505"/>
    <n v="0.2278"/>
    <n v="0.38969999999999999"/>
    <n v="0.21809999999999999"/>
    <n v="0.53680000000000005"/>
    <n v="8.6900000000000005E-2"/>
    <n v="0.16650000000000001"/>
    <n v="1.5556000000000001"/>
    <n v="0.1857"/>
    <n v="1.5556000000000001"/>
    <n v="0.1857"/>
    <n v="190"/>
    <n v="53"/>
    <n v="0.1618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分箱样本透视表" cacheId="6" applyNumberFormats="1" applyBorderFormats="0" applyFontFormats="0" applyPatternFormats="0" applyAlignmentFormats="0" applyWidthHeightFormats="1" dataCaption="值" updatedVersion="7" minRefreshableVersion="3" useAutoFormatting="1" colGrandTotals="0" itemPrintTitles="1" createdVersion="6" indent="0" compact="0" outline="1" outlineData="1" compactData="0" multipleFieldFilters="0">
  <location ref="B2:E8" firstHeaderRow="1" firstDataRow="2" firstDataCol="1"/>
  <pivotFields count="19">
    <pivotField showAll="0"/>
    <pivotField axis="axisRow" showAll="0" defaultSubtotal="0">
      <items count="4">
        <item x="0"/>
        <item x="1"/>
        <item x="2"/>
        <item x="3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样本总数" fld="2" baseField="0" baseItem="0"/>
    <dataField name="求和项:坏样本数" fld="4" baseField="0" baseItem="0"/>
    <dataField name="样本占比" fld="2" showDataAs="percentOfTotal" baseField="0" baseItem="0" numFmtId="10"/>
  </dataFields>
  <pivotTableStyleInfo name="HSCreditPivotStyle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0"/>
  <sheetViews>
    <sheetView tabSelected="1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8" defaultRowHeight="12" x14ac:dyDescent="0.3"/>
  <cols>
    <col min="1" max="1" width="10.875" style="1" customWidth="1"/>
    <col min="2" max="2" width="31.75" style="1" customWidth="1"/>
    <col min="3" max="3" width="8" style="1" customWidth="1"/>
    <col min="4" max="4" width="21.25" style="1" customWidth="1"/>
    <col min="5" max="8" width="10.375" style="1" customWidth="1"/>
    <col min="9" max="10" width="12.5" style="1" customWidth="1"/>
    <col min="11" max="11" width="10.375" style="1" customWidth="1"/>
    <col min="12" max="12" width="11.875" style="1" customWidth="1"/>
    <col min="13" max="14" width="10.75" style="1" customWidth="1"/>
    <col min="15" max="15" width="9.25" style="1" customWidth="1"/>
    <col min="16" max="16" width="10.375" style="1" customWidth="1"/>
    <col min="17" max="17" width="13.125" style="1" customWidth="1"/>
    <col min="18" max="20" width="14.625" style="1" customWidth="1"/>
    <col min="21" max="21" width="10.75" style="1" customWidth="1"/>
    <col min="22" max="16384" width="8" style="1"/>
  </cols>
  <sheetData>
    <row r="2" spans="2:21" ht="13.5" x14ac:dyDescent="0.3">
      <c r="B2" s="2" t="s">
        <v>0</v>
      </c>
    </row>
    <row r="4" spans="2:21" ht="17.25" x14ac:dyDescent="0.3">
      <c r="B4" s="16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8"/>
    </row>
    <row r="6" spans="2:21" ht="13.5" x14ac:dyDescent="0.3">
      <c r="B6" s="3"/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17</v>
      </c>
      <c r="S6" s="4" t="s">
        <v>18</v>
      </c>
      <c r="T6" s="4" t="s">
        <v>19</v>
      </c>
      <c r="U6" s="5" t="s">
        <v>20</v>
      </c>
    </row>
    <row r="7" spans="2:21" ht="13.5" x14ac:dyDescent="0.3">
      <c r="B7" s="6">
        <v>0</v>
      </c>
      <c r="C7" s="6">
        <v>0</v>
      </c>
      <c r="D7" s="6" t="s">
        <v>21</v>
      </c>
      <c r="E7" s="6">
        <v>243</v>
      </c>
      <c r="F7" s="6">
        <v>223</v>
      </c>
      <c r="G7" s="6">
        <v>20</v>
      </c>
      <c r="H7" s="7">
        <v>0.2505</v>
      </c>
      <c r="I7" s="7">
        <v>0.26740000000000003</v>
      </c>
      <c r="J7" s="7">
        <v>0.14710000000000001</v>
      </c>
      <c r="K7" s="7">
        <v>8.2299999999999998E-2</v>
      </c>
      <c r="L7" s="6">
        <v>-0.59789999999999999</v>
      </c>
      <c r="M7" s="6">
        <v>7.1900000000000006E-2</v>
      </c>
      <c r="N7" s="6">
        <v>0.16650000000000001</v>
      </c>
      <c r="O7" s="6">
        <v>0.58699999999999997</v>
      </c>
      <c r="P7" s="7">
        <v>-0.13800000000000001</v>
      </c>
      <c r="Q7" s="6">
        <v>1</v>
      </c>
      <c r="R7" s="7">
        <v>1</v>
      </c>
      <c r="S7" s="6">
        <v>834</v>
      </c>
      <c r="T7" s="6">
        <v>136</v>
      </c>
      <c r="U7" s="7">
        <v>0</v>
      </c>
    </row>
    <row r="8" spans="2:21" ht="13.5" x14ac:dyDescent="0.3">
      <c r="B8" s="8">
        <v>1</v>
      </c>
      <c r="C8" s="8">
        <v>1</v>
      </c>
      <c r="D8" s="8" t="s">
        <v>22</v>
      </c>
      <c r="E8" s="8">
        <v>242</v>
      </c>
      <c r="F8" s="8">
        <v>208</v>
      </c>
      <c r="G8" s="8">
        <v>34</v>
      </c>
      <c r="H8" s="9">
        <v>0.2495</v>
      </c>
      <c r="I8" s="9">
        <v>0.24940000000000001</v>
      </c>
      <c r="J8" s="9">
        <v>0.25</v>
      </c>
      <c r="K8" s="9">
        <v>0.14050000000000001</v>
      </c>
      <c r="L8" s="8">
        <v>2.3999999999999998E-3</v>
      </c>
      <c r="M8" s="8">
        <v>0</v>
      </c>
      <c r="N8" s="8">
        <v>0.16650000000000001</v>
      </c>
      <c r="O8" s="8">
        <v>1.0021</v>
      </c>
      <c r="P8" s="9">
        <v>6.9999999999999999E-4</v>
      </c>
      <c r="Q8" s="8">
        <v>1.1379999999999999</v>
      </c>
      <c r="R8" s="9">
        <v>0.41299999999999998</v>
      </c>
      <c r="S8" s="8">
        <v>611</v>
      </c>
      <c r="T8" s="8">
        <v>116</v>
      </c>
      <c r="U8" s="9">
        <v>0.1203</v>
      </c>
    </row>
    <row r="9" spans="2:21" ht="13.5" x14ac:dyDescent="0.3">
      <c r="B9" s="6">
        <v>2</v>
      </c>
      <c r="C9" s="6">
        <v>2</v>
      </c>
      <c r="D9" s="6" t="s">
        <v>23</v>
      </c>
      <c r="E9" s="6">
        <v>242</v>
      </c>
      <c r="F9" s="6">
        <v>213</v>
      </c>
      <c r="G9" s="6">
        <v>29</v>
      </c>
      <c r="H9" s="7">
        <v>0.2495</v>
      </c>
      <c r="I9" s="7">
        <v>0.25540000000000002</v>
      </c>
      <c r="J9" s="7">
        <v>0.2132</v>
      </c>
      <c r="K9" s="7">
        <v>0.1198</v>
      </c>
      <c r="L9" s="6">
        <v>-0.1804</v>
      </c>
      <c r="M9" s="6">
        <v>7.6E-3</v>
      </c>
      <c r="N9" s="6">
        <v>0.16650000000000001</v>
      </c>
      <c r="O9" s="6">
        <v>0.85470000000000002</v>
      </c>
      <c r="P9" s="7">
        <v>-4.8300000000000003E-2</v>
      </c>
      <c r="Q9" s="6">
        <v>1.2059</v>
      </c>
      <c r="R9" s="7">
        <v>0.2059</v>
      </c>
      <c r="S9" s="6">
        <v>403</v>
      </c>
      <c r="T9" s="6">
        <v>82</v>
      </c>
      <c r="U9" s="7">
        <v>0.1197</v>
      </c>
    </row>
    <row r="10" spans="2:21" ht="13.5" x14ac:dyDescent="0.3">
      <c r="B10" s="10">
        <v>3</v>
      </c>
      <c r="C10" s="10">
        <v>3</v>
      </c>
      <c r="D10" s="10" t="s">
        <v>24</v>
      </c>
      <c r="E10" s="10">
        <v>243</v>
      </c>
      <c r="F10" s="10">
        <v>190</v>
      </c>
      <c r="G10" s="10">
        <v>53</v>
      </c>
      <c r="H10" s="11">
        <v>0.2505</v>
      </c>
      <c r="I10" s="11">
        <v>0.2278</v>
      </c>
      <c r="J10" s="11">
        <v>0.38969999999999999</v>
      </c>
      <c r="K10" s="11">
        <v>0.21809999999999999</v>
      </c>
      <c r="L10" s="10">
        <v>0.53680000000000005</v>
      </c>
      <c r="M10" s="10">
        <v>8.6900000000000005E-2</v>
      </c>
      <c r="N10" s="10">
        <v>0.16650000000000001</v>
      </c>
      <c r="O10" s="10">
        <v>1.5556000000000001</v>
      </c>
      <c r="P10" s="11">
        <v>0.1857</v>
      </c>
      <c r="Q10" s="10">
        <v>1.5556000000000001</v>
      </c>
      <c r="R10" s="11">
        <v>0.1857</v>
      </c>
      <c r="S10" s="10">
        <v>190</v>
      </c>
      <c r="T10" s="10">
        <v>53</v>
      </c>
      <c r="U10" s="11">
        <v>0.16189999999999999</v>
      </c>
    </row>
  </sheetData>
  <mergeCells count="1">
    <mergeCell ref="B4:U4"/>
  </mergeCells>
  <phoneticPr fontId="1" type="noConversion"/>
  <conditionalFormatting sqref="E7:E10">
    <cfRule type="dataBar" priority="1">
      <dataBar>
        <cfvo type="min"/>
        <cfvo type="max"/>
        <color rgb="FFF76E6C"/>
      </dataBar>
    </cfRule>
  </conditionalFormatting>
  <conditionalFormatting sqref="M7:M10">
    <cfRule type="dataBar" priority="2">
      <dataBar>
        <cfvo type="min"/>
        <cfvo type="max"/>
        <color rgb="FFF76E6C"/>
      </dataBar>
    </cfRule>
  </conditionalFormatting>
  <conditionalFormatting sqref="O7:O10">
    <cfRule type="dataBar" priority="3">
      <dataBar>
        <cfvo type="min"/>
        <cfvo type="max"/>
        <color rgb="FFF76E6C"/>
      </dataBar>
    </cfRule>
  </conditionalFormatting>
  <hyperlinks>
    <hyperlink ref="B2" location="#透视分析!B2" display="查看数据透视表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8"/>
  <sheetViews>
    <sheetView workbookViewId="0"/>
  </sheetViews>
  <sheetFormatPr defaultColWidth="10.875" defaultRowHeight="12" x14ac:dyDescent="0.3"/>
  <cols>
    <col min="1" max="1" width="8" style="1" customWidth="1"/>
    <col min="2" max="2" width="15.125" style="1" bestFit="1" customWidth="1"/>
    <col min="3" max="4" width="18" style="1" bestFit="1" customWidth="1"/>
    <col min="5" max="5" width="10.25" style="1" bestFit="1" customWidth="1"/>
    <col min="6" max="16384" width="10.875" style="1"/>
  </cols>
  <sheetData>
    <row r="2" spans="2:5" ht="17.25" x14ac:dyDescent="0.3">
      <c r="B2"/>
      <c r="C2" s="12" t="s">
        <v>25</v>
      </c>
      <c r="D2"/>
      <c r="E2"/>
    </row>
    <row r="3" spans="2:5" ht="17.25" x14ac:dyDescent="0.3">
      <c r="B3" s="12" t="s">
        <v>26</v>
      </c>
      <c r="C3" t="s">
        <v>27</v>
      </c>
      <c r="D3" t="s">
        <v>28</v>
      </c>
      <c r="E3" t="s">
        <v>7</v>
      </c>
    </row>
    <row r="4" spans="2:5" ht="17.25" x14ac:dyDescent="0.3">
      <c r="B4" s="13" t="s">
        <v>21</v>
      </c>
      <c r="C4" s="14">
        <v>243</v>
      </c>
      <c r="D4" s="14">
        <v>20</v>
      </c>
      <c r="E4" s="15">
        <v>0.25051546391752577</v>
      </c>
    </row>
    <row r="5" spans="2:5" ht="17.25" x14ac:dyDescent="0.3">
      <c r="B5" s="13" t="s">
        <v>22</v>
      </c>
      <c r="C5" s="14">
        <v>242</v>
      </c>
      <c r="D5" s="14">
        <v>34</v>
      </c>
      <c r="E5" s="15">
        <v>0.24948453608247423</v>
      </c>
    </row>
    <row r="6" spans="2:5" ht="17.25" x14ac:dyDescent="0.3">
      <c r="B6" s="13" t="s">
        <v>23</v>
      </c>
      <c r="C6" s="14">
        <v>242</v>
      </c>
      <c r="D6" s="14">
        <v>29</v>
      </c>
      <c r="E6" s="15">
        <v>0.24948453608247423</v>
      </c>
    </row>
    <row r="7" spans="2:5" ht="17.25" x14ac:dyDescent="0.3">
      <c r="B7" s="13" t="s">
        <v>24</v>
      </c>
      <c r="C7" s="14">
        <v>243</v>
      </c>
      <c r="D7" s="14">
        <v>53</v>
      </c>
      <c r="E7" s="15">
        <v>0.25051546391752577</v>
      </c>
    </row>
    <row r="8" spans="2:5" ht="17.25" x14ac:dyDescent="0.3">
      <c r="B8" s="13" t="s">
        <v>29</v>
      </c>
      <c r="C8" s="14">
        <v>970</v>
      </c>
      <c r="D8" s="14">
        <v>136</v>
      </c>
      <c r="E8" s="15">
        <v>1</v>
      </c>
    </row>
  </sheetData>
  <phoneticPr fontId="1" type="noConversion"/>
  <conditionalFormatting sqref="C3">
    <cfRule type="dataBar" priority="1">
      <dataBar>
        <cfvo type="min"/>
        <cfvo type="max"/>
        <color rgb="FFF76E6C"/>
      </dataBar>
    </cfRule>
  </conditionalFormatting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分箱统计</vt:lpstr>
      <vt:lpstr>透视分析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luping zhang</cp:lastModifiedBy>
  <dcterms:created xsi:type="dcterms:W3CDTF">2019-03-20T12:04:32Z</dcterms:created>
  <dcterms:modified xsi:type="dcterms:W3CDTF">2026-10-09T03:22:58Z</dcterms:modified>
</cp:coreProperties>
</file>